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HISMINSA\Herramientas\"/>
    </mc:Choice>
  </mc:AlternateContent>
  <xr:revisionPtr revIDLastSave="0" documentId="13_ncr:1_{DCF3B3EB-4CE5-4811-AA24-F379CF30DB73}" xr6:coauthVersionLast="47" xr6:coauthVersionMax="47" xr10:uidLastSave="{00000000-0000-0000-0000-000000000000}"/>
  <bookViews>
    <workbookView xWindow="-120" yWindow="-120" windowWidth="20730" windowHeight="11160" tabRatio="751" xr2:uid="{00000000-000D-0000-FFFF-FFFF00000000}"/>
  </bookViews>
  <sheets>
    <sheet name="MENU" sheetId="3" r:id="rId1"/>
    <sheet name="BASICO" sheetId="2" r:id="rId2"/>
    <sheet name="MAESTROS" sheetId="6" r:id="rId3"/>
    <sheet name="INTEGRACION" sheetId="7" r:id="rId4"/>
    <sheet name="SP_REPORTES_OPERACIONALES" sheetId="5" r:id="rId5"/>
    <sheet name="TABLAS_REPORTES_OPERACIONALES" sheetId="8" r:id="rId6"/>
    <sheet name="REPORTES_OPERACIONALES" sheetId="9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4" i="8" l="1"/>
  <c r="C104" i="8"/>
  <c r="D104" i="8"/>
  <c r="E104" i="8"/>
  <c r="F104" i="8"/>
  <c r="B105" i="8"/>
  <c r="C105" i="8"/>
  <c r="D105" i="8"/>
  <c r="E105" i="8"/>
  <c r="F105" i="8"/>
  <c r="B106" i="8"/>
  <c r="C106" i="8"/>
  <c r="D106" i="8"/>
  <c r="E106" i="8"/>
  <c r="F106" i="8"/>
  <c r="B107" i="8"/>
  <c r="C107" i="8"/>
  <c r="D107" i="8"/>
  <c r="E107" i="8"/>
  <c r="F107" i="8"/>
  <c r="B108" i="8"/>
  <c r="C108" i="8"/>
  <c r="D108" i="8"/>
  <c r="E108" i="8"/>
  <c r="F108" i="8"/>
  <c r="B109" i="8"/>
  <c r="C109" i="8"/>
  <c r="D109" i="8"/>
  <c r="E109" i="8"/>
  <c r="F109" i="8"/>
  <c r="B110" i="8"/>
  <c r="C110" i="8"/>
  <c r="D110" i="8"/>
  <c r="E110" i="8"/>
  <c r="F110" i="8"/>
  <c r="B111" i="8"/>
  <c r="C111" i="8"/>
  <c r="D111" i="8"/>
  <c r="E111" i="8"/>
  <c r="F111" i="8"/>
  <c r="B112" i="8"/>
  <c r="C112" i="8"/>
  <c r="D112" i="8"/>
  <c r="E112" i="8"/>
  <c r="F112" i="8"/>
  <c r="B113" i="8"/>
  <c r="C113" i="8"/>
  <c r="D113" i="8"/>
  <c r="E113" i="8"/>
  <c r="F113" i="8"/>
  <c r="B114" i="8"/>
  <c r="C114" i="8"/>
  <c r="D114" i="8"/>
  <c r="E114" i="8"/>
  <c r="F114" i="8"/>
  <c r="B115" i="8"/>
  <c r="C115" i="8"/>
  <c r="D115" i="8"/>
  <c r="E115" i="8"/>
  <c r="F115" i="8"/>
  <c r="B116" i="8"/>
  <c r="C116" i="8"/>
  <c r="D116" i="8"/>
  <c r="E116" i="8"/>
  <c r="F116" i="8"/>
  <c r="B117" i="8"/>
  <c r="C117" i="8"/>
  <c r="D117" i="8"/>
  <c r="E117" i="8"/>
  <c r="F117" i="8"/>
  <c r="B118" i="8"/>
  <c r="C118" i="8"/>
  <c r="D118" i="8"/>
  <c r="E118" i="8"/>
  <c r="F118" i="8"/>
  <c r="B119" i="8"/>
  <c r="C119" i="8"/>
  <c r="D119" i="8"/>
  <c r="E119" i="8"/>
  <c r="F119" i="8"/>
  <c r="B120" i="8"/>
  <c r="C120" i="8"/>
  <c r="D120" i="8"/>
  <c r="E120" i="8"/>
  <c r="F120" i="8"/>
  <c r="B121" i="8"/>
  <c r="C121" i="8"/>
  <c r="D121" i="8"/>
  <c r="E121" i="8"/>
  <c r="F121" i="8"/>
  <c r="B122" i="8"/>
  <c r="C122" i="8"/>
  <c r="D122" i="8"/>
  <c r="E122" i="8"/>
  <c r="F122" i="8"/>
  <c r="B123" i="8"/>
  <c r="C123" i="8"/>
  <c r="D123" i="8"/>
  <c r="E123" i="8"/>
  <c r="F123" i="8"/>
  <c r="B124" i="8"/>
  <c r="C124" i="8"/>
  <c r="D124" i="8"/>
  <c r="E124" i="8"/>
  <c r="F124" i="8"/>
  <c r="B125" i="8"/>
  <c r="C125" i="8"/>
  <c r="D125" i="8"/>
  <c r="E125" i="8"/>
  <c r="F125" i="8"/>
  <c r="B126" i="8"/>
  <c r="C126" i="8"/>
  <c r="D126" i="8"/>
  <c r="E126" i="8"/>
  <c r="F126" i="8"/>
  <c r="B127" i="8"/>
  <c r="C127" i="8"/>
  <c r="D127" i="8"/>
  <c r="E127" i="8"/>
  <c r="F127" i="8"/>
  <c r="B128" i="8"/>
  <c r="C128" i="8"/>
  <c r="D128" i="8"/>
  <c r="E128" i="8"/>
  <c r="F128" i="8"/>
  <c r="B129" i="8"/>
  <c r="C129" i="8"/>
  <c r="D129" i="8"/>
  <c r="E129" i="8"/>
  <c r="F129" i="8"/>
  <c r="B130" i="8"/>
  <c r="C130" i="8"/>
  <c r="D130" i="8"/>
  <c r="E130" i="8"/>
  <c r="F130" i="8"/>
  <c r="B131" i="8"/>
  <c r="C131" i="8"/>
  <c r="D131" i="8"/>
  <c r="E131" i="8"/>
  <c r="F131" i="8"/>
  <c r="B132" i="8"/>
  <c r="C132" i="8"/>
  <c r="D132" i="8"/>
  <c r="E132" i="8"/>
  <c r="F132" i="8"/>
  <c r="B133" i="8"/>
  <c r="C133" i="8"/>
  <c r="D133" i="8"/>
  <c r="E133" i="8"/>
  <c r="F133" i="8"/>
  <c r="B134" i="8"/>
  <c r="C134" i="8"/>
  <c r="D134" i="8"/>
  <c r="E134" i="8"/>
  <c r="F134" i="8"/>
  <c r="B135" i="8"/>
  <c r="C135" i="8"/>
  <c r="D135" i="8"/>
  <c r="E135" i="8"/>
  <c r="F135" i="8"/>
  <c r="B136" i="8"/>
  <c r="C136" i="8"/>
  <c r="D136" i="8"/>
  <c r="E136" i="8"/>
  <c r="F136" i="8"/>
  <c r="B137" i="8"/>
  <c r="C137" i="8"/>
  <c r="D137" i="8"/>
  <c r="E137" i="8"/>
  <c r="F137" i="8"/>
  <c r="B138" i="8"/>
  <c r="C138" i="8"/>
  <c r="D138" i="8"/>
  <c r="E138" i="8"/>
  <c r="F138" i="8"/>
  <c r="B139" i="8"/>
  <c r="C139" i="8"/>
  <c r="D139" i="8"/>
  <c r="E139" i="8"/>
  <c r="F139" i="8"/>
  <c r="B140" i="8"/>
  <c r="C140" i="8"/>
  <c r="D140" i="8"/>
  <c r="E140" i="8"/>
  <c r="F140" i="8"/>
  <c r="B141" i="8"/>
  <c r="C141" i="8"/>
  <c r="D141" i="8"/>
  <c r="E141" i="8"/>
  <c r="F141" i="8"/>
  <c r="B142" i="8"/>
  <c r="C142" i="8"/>
  <c r="D142" i="8"/>
  <c r="E142" i="8"/>
  <c r="F142" i="8"/>
  <c r="B143" i="8"/>
  <c r="C143" i="8"/>
  <c r="D143" i="8"/>
  <c r="E143" i="8"/>
  <c r="F143" i="8"/>
  <c r="B144" i="8"/>
  <c r="C144" i="8"/>
  <c r="D144" i="8"/>
  <c r="E144" i="8"/>
  <c r="F144" i="8"/>
  <c r="B145" i="8"/>
  <c r="C145" i="8"/>
  <c r="D145" i="8"/>
  <c r="E145" i="8"/>
  <c r="F145" i="8"/>
  <c r="B146" i="8"/>
  <c r="C146" i="8"/>
  <c r="D146" i="8"/>
  <c r="E146" i="8"/>
  <c r="F146" i="8"/>
  <c r="B147" i="8"/>
  <c r="C147" i="8"/>
  <c r="D147" i="8"/>
  <c r="E147" i="8"/>
  <c r="F147" i="8"/>
  <c r="B148" i="8"/>
  <c r="C148" i="8"/>
  <c r="D148" i="8"/>
  <c r="E148" i="8"/>
  <c r="F148" i="8"/>
  <c r="B149" i="8"/>
  <c r="C149" i="8"/>
  <c r="D149" i="8"/>
  <c r="E149" i="8"/>
  <c r="F149" i="8"/>
  <c r="B150" i="8"/>
  <c r="C150" i="8"/>
  <c r="D150" i="8"/>
  <c r="E150" i="8"/>
  <c r="F150" i="8"/>
  <c r="B151" i="8"/>
  <c r="C151" i="8"/>
  <c r="D151" i="8"/>
  <c r="E151" i="8"/>
  <c r="F151" i="8"/>
  <c r="B152" i="8"/>
  <c r="C152" i="8"/>
  <c r="D152" i="8"/>
  <c r="E152" i="8"/>
  <c r="F152" i="8"/>
  <c r="B153" i="8"/>
  <c r="C153" i="8"/>
  <c r="D153" i="8"/>
  <c r="E153" i="8"/>
  <c r="F153" i="8"/>
  <c r="B154" i="8"/>
  <c r="C154" i="8"/>
  <c r="D154" i="8"/>
  <c r="E154" i="8"/>
  <c r="F154" i="8"/>
  <c r="B155" i="8"/>
  <c r="C155" i="8"/>
  <c r="D155" i="8"/>
  <c r="E155" i="8"/>
  <c r="F155" i="8"/>
  <c r="B28" i="5"/>
  <c r="C28" i="5"/>
  <c r="D28" i="5"/>
  <c r="E28" i="5"/>
  <c r="F28" i="5"/>
  <c r="B29" i="5"/>
  <c r="C29" i="5"/>
  <c r="D29" i="5"/>
  <c r="E29" i="5"/>
  <c r="F29" i="5"/>
  <c r="B30" i="5"/>
  <c r="C30" i="5"/>
  <c r="D30" i="5"/>
  <c r="E30" i="5"/>
  <c r="F30" i="5"/>
  <c r="B31" i="5"/>
  <c r="C31" i="5"/>
  <c r="D31" i="5"/>
  <c r="E31" i="5"/>
  <c r="F31" i="5"/>
  <c r="B32" i="5"/>
  <c r="C32" i="5"/>
  <c r="D32" i="5"/>
  <c r="E32" i="5"/>
  <c r="F32" i="5"/>
  <c r="B33" i="5"/>
  <c r="C33" i="5"/>
  <c r="D33" i="5"/>
  <c r="E33" i="5"/>
  <c r="F33" i="5"/>
  <c r="B34" i="5"/>
  <c r="C34" i="5"/>
  <c r="D34" i="5"/>
  <c r="E34" i="5"/>
  <c r="F34" i="5"/>
  <c r="B35" i="5"/>
  <c r="C35" i="5"/>
  <c r="D35" i="5"/>
  <c r="E35" i="5"/>
  <c r="F35" i="5"/>
  <c r="B36" i="5"/>
  <c r="C36" i="5"/>
  <c r="D36" i="5"/>
  <c r="E36" i="5"/>
  <c r="F36" i="5"/>
  <c r="B37" i="5"/>
  <c r="C37" i="5"/>
  <c r="D37" i="5"/>
  <c r="E37" i="5"/>
  <c r="F37" i="5"/>
  <c r="B38" i="5"/>
  <c r="C38" i="5"/>
  <c r="D38" i="5"/>
  <c r="E38" i="5"/>
  <c r="F38" i="5"/>
  <c r="B39" i="5"/>
  <c r="C39" i="5"/>
  <c r="D39" i="5"/>
  <c r="E39" i="5"/>
  <c r="F39" i="5"/>
  <c r="B40" i="5"/>
  <c r="C40" i="5"/>
  <c r="D40" i="5"/>
  <c r="E40" i="5"/>
  <c r="F40" i="5"/>
  <c r="B41" i="5"/>
  <c r="C41" i="5"/>
  <c r="D41" i="5"/>
  <c r="E41" i="5"/>
  <c r="F41" i="5"/>
  <c r="B42" i="5"/>
  <c r="C42" i="5"/>
  <c r="D42" i="5"/>
  <c r="E42" i="5"/>
  <c r="F42" i="5"/>
  <c r="B103" i="8"/>
  <c r="C103" i="8"/>
  <c r="D103" i="8"/>
  <c r="E103" i="8"/>
  <c r="F103" i="8"/>
  <c r="B102" i="8"/>
  <c r="C102" i="8"/>
  <c r="D102" i="8"/>
  <c r="E102" i="8"/>
  <c r="F102" i="8"/>
  <c r="B54" i="8"/>
  <c r="C54" i="8"/>
  <c r="D54" i="8"/>
  <c r="E54" i="8"/>
  <c r="F54" i="8"/>
  <c r="B55" i="8"/>
  <c r="C55" i="8"/>
  <c r="D55" i="8"/>
  <c r="E55" i="8"/>
  <c r="F55" i="8"/>
  <c r="B56" i="8"/>
  <c r="C56" i="8"/>
  <c r="D56" i="8"/>
  <c r="E56" i="8"/>
  <c r="F56" i="8"/>
  <c r="B57" i="8"/>
  <c r="C57" i="8"/>
  <c r="D57" i="8"/>
  <c r="E57" i="8"/>
  <c r="F57" i="8"/>
  <c r="B58" i="8"/>
  <c r="C58" i="8"/>
  <c r="D58" i="8"/>
  <c r="E58" i="8"/>
  <c r="F58" i="8"/>
  <c r="B59" i="8"/>
  <c r="C59" i="8"/>
  <c r="D59" i="8"/>
  <c r="E59" i="8"/>
  <c r="F59" i="8"/>
  <c r="B60" i="8"/>
  <c r="C60" i="8"/>
  <c r="D60" i="8"/>
  <c r="E60" i="8"/>
  <c r="F60" i="8"/>
  <c r="B61" i="8"/>
  <c r="C61" i="8"/>
  <c r="D61" i="8"/>
  <c r="E61" i="8"/>
  <c r="F61" i="8"/>
  <c r="B62" i="8"/>
  <c r="C62" i="8"/>
  <c r="D62" i="8"/>
  <c r="E62" i="8"/>
  <c r="F62" i="8"/>
  <c r="B63" i="8"/>
  <c r="C63" i="8"/>
  <c r="D63" i="8"/>
  <c r="E63" i="8"/>
  <c r="F63" i="8"/>
  <c r="B64" i="8"/>
  <c r="C64" i="8"/>
  <c r="D64" i="8"/>
  <c r="E64" i="8"/>
  <c r="F64" i="8"/>
  <c r="B65" i="8"/>
  <c r="C65" i="8"/>
  <c r="D65" i="8"/>
  <c r="E65" i="8"/>
  <c r="F65" i="8"/>
  <c r="B66" i="8"/>
  <c r="C66" i="8"/>
  <c r="D66" i="8"/>
  <c r="E66" i="8"/>
  <c r="F66" i="8"/>
  <c r="B67" i="8"/>
  <c r="C67" i="8"/>
  <c r="D67" i="8"/>
  <c r="E67" i="8"/>
  <c r="F67" i="8"/>
  <c r="B68" i="8"/>
  <c r="C68" i="8"/>
  <c r="D68" i="8"/>
  <c r="E68" i="8"/>
  <c r="F68" i="8"/>
  <c r="B69" i="8"/>
  <c r="C69" i="8"/>
  <c r="D69" i="8"/>
  <c r="E69" i="8"/>
  <c r="F69" i="8"/>
  <c r="B70" i="8"/>
  <c r="C70" i="8"/>
  <c r="D70" i="8"/>
  <c r="E70" i="8"/>
  <c r="F70" i="8"/>
  <c r="B71" i="8"/>
  <c r="C71" i="8"/>
  <c r="D71" i="8"/>
  <c r="E71" i="8"/>
  <c r="F71" i="8"/>
  <c r="B72" i="8"/>
  <c r="C72" i="8"/>
  <c r="D72" i="8"/>
  <c r="E72" i="8"/>
  <c r="F72" i="8"/>
  <c r="B73" i="8"/>
  <c r="C73" i="8"/>
  <c r="D73" i="8"/>
  <c r="E73" i="8"/>
  <c r="F73" i="8"/>
  <c r="B74" i="8"/>
  <c r="C74" i="8"/>
  <c r="D74" i="8"/>
  <c r="E74" i="8"/>
  <c r="F74" i="8"/>
  <c r="B75" i="8"/>
  <c r="C75" i="8"/>
  <c r="D75" i="8"/>
  <c r="E75" i="8"/>
  <c r="F75" i="8"/>
  <c r="B76" i="8"/>
  <c r="C76" i="8"/>
  <c r="D76" i="8"/>
  <c r="E76" i="8"/>
  <c r="F76" i="8"/>
  <c r="B77" i="8"/>
  <c r="C77" i="8"/>
  <c r="D77" i="8"/>
  <c r="E77" i="8"/>
  <c r="F77" i="8"/>
  <c r="B78" i="8"/>
  <c r="C78" i="8"/>
  <c r="D78" i="8"/>
  <c r="E78" i="8"/>
  <c r="F78" i="8"/>
  <c r="B79" i="8"/>
  <c r="C79" i="8"/>
  <c r="D79" i="8"/>
  <c r="E79" i="8"/>
  <c r="F79" i="8"/>
  <c r="B80" i="8"/>
  <c r="C80" i="8"/>
  <c r="D80" i="8"/>
  <c r="E80" i="8"/>
  <c r="F80" i="8"/>
  <c r="B81" i="8"/>
  <c r="C81" i="8"/>
  <c r="D81" i="8"/>
  <c r="E81" i="8"/>
  <c r="F81" i="8"/>
  <c r="B82" i="8"/>
  <c r="C82" i="8"/>
  <c r="D82" i="8"/>
  <c r="E82" i="8"/>
  <c r="F82" i="8"/>
  <c r="B83" i="8"/>
  <c r="C83" i="8"/>
  <c r="D83" i="8"/>
  <c r="E83" i="8"/>
  <c r="F83" i="8"/>
  <c r="B84" i="8"/>
  <c r="C84" i="8"/>
  <c r="D84" i="8"/>
  <c r="E84" i="8"/>
  <c r="F84" i="8"/>
  <c r="B85" i="8"/>
  <c r="C85" i="8"/>
  <c r="D85" i="8"/>
  <c r="E85" i="8"/>
  <c r="F85" i="8"/>
  <c r="B86" i="8"/>
  <c r="C86" i="8"/>
  <c r="D86" i="8"/>
  <c r="E86" i="8"/>
  <c r="F86" i="8"/>
  <c r="B87" i="8"/>
  <c r="C87" i="8"/>
  <c r="D87" i="8"/>
  <c r="E87" i="8"/>
  <c r="F87" i="8"/>
  <c r="B88" i="8"/>
  <c r="C88" i="8"/>
  <c r="D88" i="8"/>
  <c r="E88" i="8"/>
  <c r="F88" i="8"/>
  <c r="B89" i="8"/>
  <c r="C89" i="8"/>
  <c r="D89" i="8"/>
  <c r="E89" i="8"/>
  <c r="F89" i="8"/>
  <c r="B90" i="8"/>
  <c r="C90" i="8"/>
  <c r="D90" i="8"/>
  <c r="E90" i="8"/>
  <c r="F90" i="8"/>
  <c r="B91" i="8"/>
  <c r="C91" i="8"/>
  <c r="D91" i="8"/>
  <c r="E91" i="8"/>
  <c r="F91" i="8"/>
  <c r="B92" i="8"/>
  <c r="C92" i="8"/>
  <c r="D92" i="8"/>
  <c r="E92" i="8"/>
  <c r="F92" i="8"/>
  <c r="B93" i="8"/>
  <c r="C93" i="8"/>
  <c r="D93" i="8"/>
  <c r="E93" i="8"/>
  <c r="F93" i="8"/>
  <c r="B94" i="8"/>
  <c r="C94" i="8"/>
  <c r="D94" i="8"/>
  <c r="E94" i="8"/>
  <c r="F94" i="8"/>
  <c r="B95" i="8"/>
  <c r="C95" i="8"/>
  <c r="D95" i="8"/>
  <c r="E95" i="8"/>
  <c r="F95" i="8"/>
  <c r="B96" i="8"/>
  <c r="C96" i="8"/>
  <c r="D96" i="8"/>
  <c r="E96" i="8"/>
  <c r="F96" i="8"/>
  <c r="B97" i="8"/>
  <c r="C97" i="8"/>
  <c r="D97" i="8"/>
  <c r="E97" i="8"/>
  <c r="F97" i="8"/>
  <c r="B98" i="8"/>
  <c r="C98" i="8"/>
  <c r="D98" i="8"/>
  <c r="E98" i="8"/>
  <c r="F98" i="8"/>
  <c r="B99" i="8"/>
  <c r="C99" i="8"/>
  <c r="D99" i="8"/>
  <c r="E99" i="8"/>
  <c r="F99" i="8"/>
  <c r="B100" i="8"/>
  <c r="C100" i="8"/>
  <c r="D100" i="8"/>
  <c r="E100" i="8"/>
  <c r="F100" i="8"/>
  <c r="B101" i="8"/>
  <c r="C101" i="8"/>
  <c r="D101" i="8"/>
  <c r="E101" i="8"/>
  <c r="F101" i="8"/>
  <c r="B19" i="6"/>
  <c r="C19" i="6"/>
  <c r="D19" i="6"/>
  <c r="E19" i="6"/>
  <c r="F19" i="6"/>
  <c r="B2" i="5"/>
  <c r="C2" i="5"/>
  <c r="D2" i="5"/>
  <c r="E2" i="5"/>
  <c r="F2" i="5"/>
  <c r="B3" i="5"/>
  <c r="C3" i="5"/>
  <c r="D3" i="5"/>
  <c r="E3" i="5"/>
  <c r="F3" i="5"/>
  <c r="B4" i="5"/>
  <c r="C4" i="5"/>
  <c r="D4" i="5"/>
  <c r="E4" i="5"/>
  <c r="F4" i="5"/>
  <c r="B5" i="5"/>
  <c r="C5" i="5"/>
  <c r="D5" i="5"/>
  <c r="E5" i="5"/>
  <c r="F5" i="5"/>
  <c r="B6" i="5"/>
  <c r="C6" i="5"/>
  <c r="D6" i="5"/>
  <c r="E6" i="5"/>
  <c r="F6" i="5"/>
  <c r="B7" i="5"/>
  <c r="C7" i="5"/>
  <c r="D7" i="5"/>
  <c r="E7" i="5"/>
  <c r="F7" i="5"/>
  <c r="B8" i="5"/>
  <c r="C8" i="5"/>
  <c r="D8" i="5"/>
  <c r="E8" i="5"/>
  <c r="F8" i="5"/>
  <c r="B9" i="5"/>
  <c r="C9" i="5"/>
  <c r="D9" i="5"/>
  <c r="E9" i="5"/>
  <c r="F9" i="5"/>
  <c r="B10" i="5"/>
  <c r="C10" i="5"/>
  <c r="D10" i="5"/>
  <c r="E10" i="5"/>
  <c r="F10" i="5"/>
  <c r="B11" i="5"/>
  <c r="C11" i="5"/>
  <c r="D11" i="5"/>
  <c r="E11" i="5"/>
  <c r="F11" i="5"/>
  <c r="B12" i="5"/>
  <c r="C12" i="5"/>
  <c r="D12" i="5"/>
  <c r="E12" i="5"/>
  <c r="F12" i="5"/>
  <c r="B13" i="5"/>
  <c r="C13" i="5"/>
  <c r="D13" i="5"/>
  <c r="E13" i="5"/>
  <c r="F13" i="5"/>
  <c r="B14" i="5"/>
  <c r="C14" i="5"/>
  <c r="D14" i="5"/>
  <c r="E14" i="5"/>
  <c r="F14" i="5"/>
  <c r="B15" i="5"/>
  <c r="C15" i="5"/>
  <c r="D15" i="5"/>
  <c r="E15" i="5"/>
  <c r="F15" i="5"/>
  <c r="B16" i="5"/>
  <c r="C16" i="5"/>
  <c r="D16" i="5"/>
  <c r="E16" i="5"/>
  <c r="F16" i="5"/>
  <c r="B17" i="5"/>
  <c r="C17" i="5"/>
  <c r="D17" i="5"/>
  <c r="E17" i="5"/>
  <c r="F17" i="5"/>
  <c r="B18" i="5"/>
  <c r="C18" i="5"/>
  <c r="D18" i="5"/>
  <c r="E18" i="5"/>
  <c r="F18" i="5"/>
  <c r="B19" i="5"/>
  <c r="C19" i="5"/>
  <c r="D19" i="5"/>
  <c r="E19" i="5"/>
  <c r="F19" i="5"/>
  <c r="B20" i="5"/>
  <c r="C20" i="5"/>
  <c r="D20" i="5"/>
  <c r="E20" i="5"/>
  <c r="F20" i="5"/>
  <c r="B21" i="5"/>
  <c r="C21" i="5"/>
  <c r="D21" i="5"/>
  <c r="E21" i="5"/>
  <c r="F21" i="5"/>
  <c r="B22" i="5"/>
  <c r="C22" i="5"/>
  <c r="D22" i="5"/>
  <c r="E22" i="5"/>
  <c r="F22" i="5"/>
  <c r="B23" i="5"/>
  <c r="C23" i="5"/>
  <c r="D23" i="5"/>
  <c r="E23" i="5"/>
  <c r="F23" i="5"/>
  <c r="B24" i="5"/>
  <c r="C24" i="5"/>
  <c r="D24" i="5"/>
  <c r="E24" i="5"/>
  <c r="F24" i="5"/>
  <c r="B25" i="5"/>
  <c r="C25" i="5"/>
  <c r="D25" i="5"/>
  <c r="E25" i="5"/>
  <c r="F25" i="5"/>
  <c r="B26" i="5"/>
  <c r="C26" i="5"/>
  <c r="D26" i="5"/>
  <c r="E26" i="5"/>
  <c r="F26" i="5"/>
  <c r="B27" i="5"/>
  <c r="C27" i="5"/>
  <c r="D27" i="5"/>
  <c r="E27" i="5"/>
  <c r="F27" i="5"/>
  <c r="B2" i="8"/>
  <c r="C2" i="8"/>
  <c r="D2" i="8"/>
  <c r="E2" i="8"/>
  <c r="F2" i="8"/>
  <c r="B3" i="8"/>
  <c r="C3" i="8"/>
  <c r="D3" i="8"/>
  <c r="E3" i="8"/>
  <c r="F3" i="8"/>
  <c r="B4" i="8"/>
  <c r="C4" i="8"/>
  <c r="D4" i="8"/>
  <c r="E4" i="8"/>
  <c r="F4" i="8"/>
  <c r="B5" i="8"/>
  <c r="C5" i="8"/>
  <c r="D5" i="8"/>
  <c r="E5" i="8"/>
  <c r="F5" i="8"/>
  <c r="B6" i="8"/>
  <c r="C6" i="8"/>
  <c r="D6" i="8"/>
  <c r="E6" i="8"/>
  <c r="F6" i="8"/>
  <c r="B7" i="8"/>
  <c r="C7" i="8"/>
  <c r="D7" i="8"/>
  <c r="E7" i="8"/>
  <c r="F7" i="8"/>
  <c r="B8" i="8"/>
  <c r="C8" i="8"/>
  <c r="D8" i="8"/>
  <c r="E8" i="8"/>
  <c r="F8" i="8"/>
  <c r="B9" i="8"/>
  <c r="C9" i="8"/>
  <c r="D9" i="8"/>
  <c r="E9" i="8"/>
  <c r="F9" i="8"/>
  <c r="B10" i="8"/>
  <c r="C10" i="8"/>
  <c r="D10" i="8"/>
  <c r="E10" i="8"/>
  <c r="F10" i="8"/>
  <c r="B11" i="8"/>
  <c r="C11" i="8"/>
  <c r="D11" i="8"/>
  <c r="E11" i="8"/>
  <c r="F11" i="8"/>
  <c r="B12" i="8"/>
  <c r="C12" i="8"/>
  <c r="D12" i="8"/>
  <c r="E12" i="8"/>
  <c r="F12" i="8"/>
  <c r="B13" i="8"/>
  <c r="C13" i="8"/>
  <c r="D13" i="8"/>
  <c r="E13" i="8"/>
  <c r="F13" i="8"/>
  <c r="B14" i="8"/>
  <c r="C14" i="8"/>
  <c r="D14" i="8"/>
  <c r="E14" i="8"/>
  <c r="F14" i="8"/>
  <c r="B15" i="8"/>
  <c r="C15" i="8"/>
  <c r="D15" i="8"/>
  <c r="E15" i="8"/>
  <c r="F15" i="8"/>
  <c r="B16" i="8"/>
  <c r="C16" i="8"/>
  <c r="D16" i="8"/>
  <c r="E16" i="8"/>
  <c r="F16" i="8"/>
  <c r="B17" i="8"/>
  <c r="C17" i="8"/>
  <c r="D17" i="8"/>
  <c r="E17" i="8"/>
  <c r="F17" i="8"/>
  <c r="B18" i="8"/>
  <c r="C18" i="8"/>
  <c r="D18" i="8"/>
  <c r="E18" i="8"/>
  <c r="F18" i="8"/>
  <c r="B19" i="8"/>
  <c r="C19" i="8"/>
  <c r="D19" i="8"/>
  <c r="E19" i="8"/>
  <c r="F19" i="8"/>
  <c r="B20" i="8"/>
  <c r="C20" i="8"/>
  <c r="D20" i="8"/>
  <c r="E20" i="8"/>
  <c r="F20" i="8"/>
  <c r="B21" i="8"/>
  <c r="C21" i="8"/>
  <c r="D21" i="8"/>
  <c r="E21" i="8"/>
  <c r="F21" i="8"/>
  <c r="B22" i="8"/>
  <c r="C22" i="8"/>
  <c r="D22" i="8"/>
  <c r="E22" i="8"/>
  <c r="F22" i="8"/>
  <c r="B23" i="8"/>
  <c r="C23" i="8"/>
  <c r="D23" i="8"/>
  <c r="E23" i="8"/>
  <c r="F23" i="8"/>
  <c r="B24" i="8"/>
  <c r="C24" i="8"/>
  <c r="D24" i="8"/>
  <c r="E24" i="8"/>
  <c r="F24" i="8"/>
  <c r="B25" i="8"/>
  <c r="C25" i="8"/>
  <c r="D25" i="8"/>
  <c r="E25" i="8"/>
  <c r="F25" i="8"/>
  <c r="B26" i="8"/>
  <c r="C26" i="8"/>
  <c r="D26" i="8"/>
  <c r="E26" i="8"/>
  <c r="F26" i="8"/>
  <c r="B27" i="8"/>
  <c r="C27" i="8"/>
  <c r="D27" i="8"/>
  <c r="E27" i="8"/>
  <c r="F27" i="8"/>
  <c r="B28" i="8"/>
  <c r="C28" i="8"/>
  <c r="D28" i="8"/>
  <c r="E28" i="8"/>
  <c r="F28" i="8"/>
  <c r="B29" i="8"/>
  <c r="C29" i="8"/>
  <c r="D29" i="8"/>
  <c r="E29" i="8"/>
  <c r="F29" i="8"/>
  <c r="B30" i="8"/>
  <c r="C30" i="8"/>
  <c r="D30" i="8"/>
  <c r="E30" i="8"/>
  <c r="F30" i="8"/>
  <c r="B31" i="8"/>
  <c r="C31" i="8"/>
  <c r="D31" i="8"/>
  <c r="E31" i="8"/>
  <c r="F31" i="8"/>
  <c r="B32" i="8"/>
  <c r="C32" i="8"/>
  <c r="D32" i="8"/>
  <c r="E32" i="8"/>
  <c r="F32" i="8"/>
  <c r="B33" i="8"/>
  <c r="C33" i="8"/>
  <c r="D33" i="8"/>
  <c r="E33" i="8"/>
  <c r="F33" i="8"/>
  <c r="B34" i="8"/>
  <c r="C34" i="8"/>
  <c r="D34" i="8"/>
  <c r="E34" i="8"/>
  <c r="F34" i="8"/>
  <c r="B35" i="8"/>
  <c r="C35" i="8"/>
  <c r="D35" i="8"/>
  <c r="E35" i="8"/>
  <c r="F35" i="8"/>
  <c r="B36" i="8"/>
  <c r="C36" i="8"/>
  <c r="D36" i="8"/>
  <c r="E36" i="8"/>
  <c r="F36" i="8"/>
  <c r="B37" i="8"/>
  <c r="C37" i="8"/>
  <c r="D37" i="8"/>
  <c r="E37" i="8"/>
  <c r="F37" i="8"/>
  <c r="B38" i="8"/>
  <c r="C38" i="8"/>
  <c r="D38" i="8"/>
  <c r="E38" i="8"/>
  <c r="F38" i="8"/>
  <c r="B39" i="8"/>
  <c r="C39" i="8"/>
  <c r="D39" i="8"/>
  <c r="E39" i="8"/>
  <c r="F39" i="8"/>
  <c r="B40" i="8"/>
  <c r="C40" i="8"/>
  <c r="D40" i="8"/>
  <c r="E40" i="8"/>
  <c r="F40" i="8"/>
  <c r="B41" i="8"/>
  <c r="C41" i="8"/>
  <c r="D41" i="8"/>
  <c r="E41" i="8"/>
  <c r="F41" i="8"/>
  <c r="B42" i="8"/>
  <c r="C42" i="8"/>
  <c r="D42" i="8"/>
  <c r="E42" i="8"/>
  <c r="F42" i="8"/>
  <c r="B43" i="8"/>
  <c r="C43" i="8"/>
  <c r="D43" i="8"/>
  <c r="E43" i="8"/>
  <c r="F43" i="8"/>
  <c r="B44" i="8"/>
  <c r="C44" i="8"/>
  <c r="D44" i="8"/>
  <c r="E44" i="8"/>
  <c r="F44" i="8"/>
  <c r="B45" i="8"/>
  <c r="C45" i="8"/>
  <c r="D45" i="8"/>
  <c r="E45" i="8"/>
  <c r="F45" i="8"/>
  <c r="B46" i="8"/>
  <c r="C46" i="8"/>
  <c r="D46" i="8"/>
  <c r="E46" i="8"/>
  <c r="F46" i="8"/>
  <c r="B47" i="8"/>
  <c r="C47" i="8"/>
  <c r="D47" i="8"/>
  <c r="E47" i="8"/>
  <c r="F47" i="8"/>
  <c r="B48" i="8"/>
  <c r="C48" i="8"/>
  <c r="D48" i="8"/>
  <c r="E48" i="8"/>
  <c r="F48" i="8"/>
  <c r="B49" i="8"/>
  <c r="C49" i="8"/>
  <c r="D49" i="8"/>
  <c r="E49" i="8"/>
  <c r="F49" i="8"/>
  <c r="B50" i="8"/>
  <c r="C50" i="8"/>
  <c r="D50" i="8"/>
  <c r="E50" i="8"/>
  <c r="F50" i="8"/>
  <c r="B51" i="8"/>
  <c r="C51" i="8"/>
  <c r="D51" i="8"/>
  <c r="E51" i="8"/>
  <c r="F51" i="8"/>
  <c r="B52" i="8"/>
  <c r="C52" i="8"/>
  <c r="D52" i="8"/>
  <c r="E52" i="8"/>
  <c r="F52" i="8"/>
  <c r="B53" i="8"/>
  <c r="C53" i="8"/>
  <c r="D53" i="8"/>
  <c r="E53" i="8"/>
  <c r="F53" i="8"/>
  <c r="H21" i="5" l="1"/>
  <c r="I21" i="5" s="1"/>
  <c r="H42" i="5"/>
  <c r="H34" i="5"/>
  <c r="H9" i="5"/>
  <c r="H19" i="6"/>
  <c r="I19" i="6" s="1"/>
  <c r="H5" i="5"/>
  <c r="I5" i="5" s="1"/>
  <c r="H77" i="8"/>
  <c r="H38" i="5"/>
  <c r="I38" i="5" s="1"/>
  <c r="H30" i="5"/>
  <c r="I30" i="5" s="1"/>
  <c r="H28" i="5"/>
  <c r="I28" i="5" s="1"/>
  <c r="H126" i="8"/>
  <c r="I126" i="8" s="1"/>
  <c r="H63" i="8"/>
  <c r="I63" i="8" s="1"/>
  <c r="H153" i="8"/>
  <c r="I153" i="8" s="1"/>
  <c r="H145" i="8"/>
  <c r="H141" i="8"/>
  <c r="I141" i="8" s="1"/>
  <c r="H137" i="8"/>
  <c r="I137" i="8" s="1"/>
  <c r="H133" i="8"/>
  <c r="I133" i="8" s="1"/>
  <c r="H129" i="8"/>
  <c r="I129" i="8" s="1"/>
  <c r="H125" i="8"/>
  <c r="I125" i="8" s="1"/>
  <c r="H121" i="8"/>
  <c r="I121" i="8" s="1"/>
  <c r="H113" i="8"/>
  <c r="I113" i="8" s="1"/>
  <c r="H109" i="8"/>
  <c r="I109" i="8" s="1"/>
  <c r="H105" i="8"/>
  <c r="I105" i="8" s="1"/>
  <c r="H4" i="5"/>
  <c r="I4" i="5" s="1"/>
  <c r="H2" i="5"/>
  <c r="I2" i="5" s="1"/>
  <c r="H100" i="8"/>
  <c r="I100" i="8" s="1"/>
  <c r="H96" i="8"/>
  <c r="I96" i="8" s="1"/>
  <c r="H92" i="8"/>
  <c r="I92" i="8" s="1"/>
  <c r="H88" i="8"/>
  <c r="I88" i="8" s="1"/>
  <c r="H84" i="8"/>
  <c r="I84" i="8" s="1"/>
  <c r="H80" i="8"/>
  <c r="I80" i="8" s="1"/>
  <c r="H76" i="8"/>
  <c r="I76" i="8" s="1"/>
  <c r="H72" i="8"/>
  <c r="I72" i="8" s="1"/>
  <c r="H68" i="8"/>
  <c r="I68" i="8" s="1"/>
  <c r="H64" i="8"/>
  <c r="I64" i="8" s="1"/>
  <c r="H60" i="8"/>
  <c r="I60" i="8" s="1"/>
  <c r="H56" i="8"/>
  <c r="I56" i="8" s="1"/>
  <c r="H24" i="5"/>
  <c r="I24" i="5" s="1"/>
  <c r="H20" i="5"/>
  <c r="I20" i="5" s="1"/>
  <c r="H12" i="5"/>
  <c r="I12" i="5" s="1"/>
  <c r="H8" i="5"/>
  <c r="I8" i="5" s="1"/>
  <c r="H23" i="5"/>
  <c r="I23" i="5" s="1"/>
  <c r="H99" i="8"/>
  <c r="I99" i="8" s="1"/>
  <c r="H83" i="8"/>
  <c r="I83" i="8" s="1"/>
  <c r="H79" i="8"/>
  <c r="I79" i="8" s="1"/>
  <c r="H25" i="5"/>
  <c r="I25" i="5" s="1"/>
  <c r="H152" i="8"/>
  <c r="I152" i="8" s="1"/>
  <c r="H148" i="8"/>
  <c r="I148" i="8" s="1"/>
  <c r="H144" i="8"/>
  <c r="I144" i="8" s="1"/>
  <c r="H136" i="8"/>
  <c r="I136" i="8" s="1"/>
  <c r="H132" i="8"/>
  <c r="I132" i="8" s="1"/>
  <c r="H128" i="8"/>
  <c r="I128" i="8" s="1"/>
  <c r="H124" i="8"/>
  <c r="I124" i="8" s="1"/>
  <c r="H120" i="8"/>
  <c r="I120" i="8" s="1"/>
  <c r="H116" i="8"/>
  <c r="I116" i="8" s="1"/>
  <c r="H112" i="8"/>
  <c r="I112" i="8" s="1"/>
  <c r="H104" i="8"/>
  <c r="I104" i="8" s="1"/>
  <c r="H16" i="5"/>
  <c r="I16" i="5" s="1"/>
  <c r="H13" i="5"/>
  <c r="I13" i="5" s="1"/>
  <c r="H7" i="5"/>
  <c r="I7" i="5" s="1"/>
  <c r="H95" i="8"/>
  <c r="I95" i="8" s="1"/>
  <c r="H91" i="8"/>
  <c r="I91" i="8" s="1"/>
  <c r="H87" i="8"/>
  <c r="I87" i="8" s="1"/>
  <c r="H19" i="5"/>
  <c r="I19" i="5" s="1"/>
  <c r="H17" i="5"/>
  <c r="I17" i="5" s="1"/>
  <c r="H3" i="5"/>
  <c r="I3" i="5" s="1"/>
  <c r="H18" i="5"/>
  <c r="I18" i="5" s="1"/>
  <c r="H101" i="8"/>
  <c r="I101" i="8" s="1"/>
  <c r="H97" i="8"/>
  <c r="I97" i="8" s="1"/>
  <c r="H93" i="8"/>
  <c r="I93" i="8" s="1"/>
  <c r="H89" i="8"/>
  <c r="I89" i="8" s="1"/>
  <c r="H85" i="8"/>
  <c r="I85" i="8" s="1"/>
  <c r="H81" i="8"/>
  <c r="I81" i="8" s="1"/>
  <c r="H73" i="8"/>
  <c r="I73" i="8" s="1"/>
  <c r="H69" i="8"/>
  <c r="I69" i="8" s="1"/>
  <c r="H65" i="8"/>
  <c r="I65" i="8" s="1"/>
  <c r="H61" i="8"/>
  <c r="I61" i="8" s="1"/>
  <c r="H57" i="8"/>
  <c r="I57" i="8" s="1"/>
  <c r="H41" i="5"/>
  <c r="I41" i="5" s="1"/>
  <c r="H37" i="5"/>
  <c r="I37" i="5" s="1"/>
  <c r="H33" i="5"/>
  <c r="I33" i="5" s="1"/>
  <c r="H29" i="5"/>
  <c r="I29" i="5" s="1"/>
  <c r="I77" i="8"/>
  <c r="H75" i="8"/>
  <c r="I75" i="8" s="1"/>
  <c r="H71" i="8"/>
  <c r="I71" i="8" s="1"/>
  <c r="H67" i="8"/>
  <c r="I67" i="8" s="1"/>
  <c r="H59" i="8"/>
  <c r="I59" i="8" s="1"/>
  <c r="H55" i="8"/>
  <c r="I55" i="8" s="1"/>
  <c r="H102" i="8"/>
  <c r="I102" i="8" s="1"/>
  <c r="H40" i="5"/>
  <c r="I40" i="5" s="1"/>
  <c r="H36" i="5"/>
  <c r="I36" i="5" s="1"/>
  <c r="H32" i="5"/>
  <c r="I32" i="5" s="1"/>
  <c r="H155" i="8"/>
  <c r="I155" i="8" s="1"/>
  <c r="H151" i="8"/>
  <c r="I151" i="8" s="1"/>
  <c r="H147" i="8"/>
  <c r="I147" i="8" s="1"/>
  <c r="H143" i="8"/>
  <c r="I143" i="8" s="1"/>
  <c r="H140" i="8"/>
  <c r="H139" i="8"/>
  <c r="I139" i="8" s="1"/>
  <c r="H135" i="8"/>
  <c r="I135" i="8" s="1"/>
  <c r="H131" i="8"/>
  <c r="I131" i="8" s="1"/>
  <c r="H127" i="8"/>
  <c r="I127" i="8" s="1"/>
  <c r="H123" i="8"/>
  <c r="I123" i="8" s="1"/>
  <c r="H119" i="8"/>
  <c r="I119" i="8" s="1"/>
  <c r="H115" i="8"/>
  <c r="I115" i="8" s="1"/>
  <c r="H111" i="8"/>
  <c r="I111" i="8" s="1"/>
  <c r="H108" i="8"/>
  <c r="I108" i="8" s="1"/>
  <c r="H107" i="8"/>
  <c r="I107" i="8" s="1"/>
  <c r="H106" i="8"/>
  <c r="I106" i="8" s="1"/>
  <c r="H48" i="8"/>
  <c r="I48" i="8" s="1"/>
  <c r="H40" i="8"/>
  <c r="I40" i="8" s="1"/>
  <c r="H32" i="8"/>
  <c r="I32" i="8" s="1"/>
  <c r="H24" i="8"/>
  <c r="I24" i="8" s="1"/>
  <c r="H21" i="8"/>
  <c r="I21" i="8" s="1"/>
  <c r="H16" i="8"/>
  <c r="I16" i="8" s="1"/>
  <c r="H12" i="8"/>
  <c r="I12" i="8" s="1"/>
  <c r="H8" i="8"/>
  <c r="I8" i="8" s="1"/>
  <c r="H5" i="8"/>
  <c r="I5" i="8" s="1"/>
  <c r="H26" i="5"/>
  <c r="I26" i="5" s="1"/>
  <c r="H22" i="5"/>
  <c r="I22" i="5" s="1"/>
  <c r="H15" i="5"/>
  <c r="I15" i="5" s="1"/>
  <c r="H10" i="5"/>
  <c r="I10" i="5" s="1"/>
  <c r="H6" i="5"/>
  <c r="I6" i="5" s="1"/>
  <c r="H98" i="8"/>
  <c r="I98" i="8" s="1"/>
  <c r="H94" i="8"/>
  <c r="I94" i="8" s="1"/>
  <c r="H90" i="8"/>
  <c r="I90" i="8" s="1"/>
  <c r="H86" i="8"/>
  <c r="I86" i="8" s="1"/>
  <c r="H82" i="8"/>
  <c r="I82" i="8" s="1"/>
  <c r="H78" i="8"/>
  <c r="I78" i="8" s="1"/>
  <c r="H74" i="8"/>
  <c r="I74" i="8" s="1"/>
  <c r="H70" i="8"/>
  <c r="I70" i="8" s="1"/>
  <c r="H66" i="8"/>
  <c r="I66" i="8" s="1"/>
  <c r="H62" i="8"/>
  <c r="I62" i="8" s="1"/>
  <c r="H58" i="8"/>
  <c r="I58" i="8" s="1"/>
  <c r="H54" i="8"/>
  <c r="I54" i="8" s="1"/>
  <c r="H103" i="8"/>
  <c r="I103" i="8" s="1"/>
  <c r="H39" i="5"/>
  <c r="I39" i="5" s="1"/>
  <c r="H35" i="5"/>
  <c r="I35" i="5" s="1"/>
  <c r="H31" i="5"/>
  <c r="I31" i="5" s="1"/>
  <c r="H154" i="8"/>
  <c r="I154" i="8" s="1"/>
  <c r="H150" i="8"/>
  <c r="I150" i="8" s="1"/>
  <c r="H146" i="8"/>
  <c r="I146" i="8" s="1"/>
  <c r="H142" i="8"/>
  <c r="I142" i="8" s="1"/>
  <c r="H138" i="8"/>
  <c r="I138" i="8" s="1"/>
  <c r="H134" i="8"/>
  <c r="I134" i="8" s="1"/>
  <c r="H130" i="8"/>
  <c r="I130" i="8" s="1"/>
  <c r="H122" i="8"/>
  <c r="I122" i="8" s="1"/>
  <c r="H118" i="8"/>
  <c r="I118" i="8" s="1"/>
  <c r="H114" i="8"/>
  <c r="I114" i="8" s="1"/>
  <c r="H110" i="8"/>
  <c r="I110" i="8" s="1"/>
  <c r="I42" i="5"/>
  <c r="I34" i="5"/>
  <c r="H14" i="5"/>
  <c r="I14" i="5" s="1"/>
  <c r="H11" i="5"/>
  <c r="I11" i="5" s="1"/>
  <c r="H27" i="5"/>
  <c r="I27" i="5" s="1"/>
  <c r="I9" i="5"/>
  <c r="I145" i="8"/>
  <c r="I140" i="8"/>
  <c r="H47" i="8"/>
  <c r="I47" i="8" s="1"/>
  <c r="H39" i="8"/>
  <c r="I39" i="8" s="1"/>
  <c r="H31" i="8"/>
  <c r="I31" i="8" s="1"/>
  <c r="H23" i="8"/>
  <c r="I23" i="8" s="1"/>
  <c r="H15" i="8"/>
  <c r="I15" i="8" s="1"/>
  <c r="H117" i="8"/>
  <c r="I117" i="8" s="1"/>
  <c r="H42" i="8"/>
  <c r="I42" i="8" s="1"/>
  <c r="H34" i="8"/>
  <c r="I34" i="8" s="1"/>
  <c r="H26" i="8"/>
  <c r="I26" i="8" s="1"/>
  <c r="H18" i="8"/>
  <c r="I18" i="8" s="1"/>
  <c r="H10" i="8"/>
  <c r="I10" i="8" s="1"/>
  <c r="H2" i="8"/>
  <c r="I2" i="8" s="1"/>
  <c r="H149" i="8"/>
  <c r="I149" i="8" s="1"/>
  <c r="H50" i="8"/>
  <c r="I50" i="8" s="1"/>
  <c r="H13" i="8"/>
  <c r="I13" i="8" s="1"/>
  <c r="H43" i="8"/>
  <c r="I43" i="8" s="1"/>
  <c r="H35" i="8"/>
  <c r="I35" i="8" s="1"/>
  <c r="H27" i="8"/>
  <c r="I27" i="8" s="1"/>
  <c r="H19" i="8"/>
  <c r="I19" i="8" s="1"/>
  <c r="H11" i="8"/>
  <c r="I11" i="8" s="1"/>
  <c r="H3" i="8"/>
  <c r="I3" i="8" s="1"/>
  <c r="H52" i="8"/>
  <c r="I52" i="8" s="1"/>
  <c r="H46" i="8"/>
  <c r="I46" i="8" s="1"/>
  <c r="H38" i="8"/>
  <c r="I38" i="8" s="1"/>
  <c r="H30" i="8"/>
  <c r="I30" i="8" s="1"/>
  <c r="H28" i="8"/>
  <c r="I28" i="8" s="1"/>
  <c r="H22" i="8"/>
  <c r="I22" i="8" s="1"/>
  <c r="H14" i="8"/>
  <c r="I14" i="8" s="1"/>
  <c r="H6" i="8"/>
  <c r="I6" i="8" s="1"/>
  <c r="H4" i="8"/>
  <c r="I4" i="8" s="1"/>
  <c r="H51" i="8"/>
  <c r="I51" i="8" s="1"/>
  <c r="H9" i="8"/>
  <c r="I9" i="8" s="1"/>
  <c r="H7" i="8"/>
  <c r="I7" i="8" s="1"/>
  <c r="H44" i="8"/>
  <c r="I44" i="8" s="1"/>
  <c r="H36" i="8"/>
  <c r="I36" i="8" s="1"/>
  <c r="H20" i="8"/>
  <c r="I20" i="8" s="1"/>
  <c r="H53" i="8"/>
  <c r="I53" i="8" s="1"/>
  <c r="H49" i="8"/>
  <c r="I49" i="8" s="1"/>
  <c r="H45" i="8"/>
  <c r="I45" i="8" s="1"/>
  <c r="H41" i="8"/>
  <c r="I41" i="8" s="1"/>
  <c r="H37" i="8"/>
  <c r="I37" i="8" s="1"/>
  <c r="H33" i="8"/>
  <c r="I33" i="8" s="1"/>
  <c r="H29" i="8"/>
  <c r="I29" i="8" s="1"/>
  <c r="H25" i="8"/>
  <c r="I25" i="8" s="1"/>
  <c r="H17" i="8"/>
  <c r="I17" i="8" s="1"/>
  <c r="F3" i="9" l="1"/>
  <c r="E3" i="9"/>
  <c r="D3" i="9"/>
  <c r="C3" i="9"/>
  <c r="B3" i="9"/>
  <c r="F2" i="9"/>
  <c r="E2" i="9"/>
  <c r="D2" i="9"/>
  <c r="C2" i="9"/>
  <c r="B2" i="9"/>
  <c r="H2" i="9" l="1"/>
  <c r="I2" i="9" s="1"/>
  <c r="H3" i="9"/>
  <c r="I3" i="9" s="1"/>
  <c r="F24" i="7"/>
  <c r="E24" i="7"/>
  <c r="D24" i="7"/>
  <c r="C24" i="7"/>
  <c r="B24" i="7"/>
  <c r="F23" i="7"/>
  <c r="E23" i="7"/>
  <c r="D23" i="7"/>
  <c r="C23" i="7"/>
  <c r="B23" i="7"/>
  <c r="F22" i="7"/>
  <c r="E22" i="7"/>
  <c r="D22" i="7"/>
  <c r="C22" i="7"/>
  <c r="B22" i="7"/>
  <c r="F21" i="7"/>
  <c r="E21" i="7"/>
  <c r="D21" i="7"/>
  <c r="C21" i="7"/>
  <c r="B21" i="7"/>
  <c r="F20" i="7"/>
  <c r="E20" i="7"/>
  <c r="D20" i="7"/>
  <c r="C20" i="7"/>
  <c r="B20" i="7"/>
  <c r="F19" i="7"/>
  <c r="E19" i="7"/>
  <c r="D19" i="7"/>
  <c r="C19" i="7"/>
  <c r="B19" i="7"/>
  <c r="F18" i="7"/>
  <c r="E18" i="7"/>
  <c r="D18" i="7"/>
  <c r="C18" i="7"/>
  <c r="B18" i="7"/>
  <c r="F17" i="7"/>
  <c r="E17" i="7"/>
  <c r="D17" i="7"/>
  <c r="C17" i="7"/>
  <c r="B17" i="7"/>
  <c r="F16" i="7"/>
  <c r="E16" i="7"/>
  <c r="D16" i="7"/>
  <c r="C16" i="7"/>
  <c r="B16" i="7"/>
  <c r="F15" i="7"/>
  <c r="E15" i="7"/>
  <c r="D15" i="7"/>
  <c r="C15" i="7"/>
  <c r="B15" i="7"/>
  <c r="F14" i="7"/>
  <c r="E14" i="7"/>
  <c r="D14" i="7"/>
  <c r="C14" i="7"/>
  <c r="B14" i="7"/>
  <c r="F13" i="7"/>
  <c r="E13" i="7"/>
  <c r="D13" i="7"/>
  <c r="C13" i="7"/>
  <c r="B13" i="7"/>
  <c r="F12" i="7"/>
  <c r="E12" i="7"/>
  <c r="D12" i="7"/>
  <c r="C12" i="7"/>
  <c r="B12" i="7"/>
  <c r="F11" i="7"/>
  <c r="E11" i="7"/>
  <c r="D11" i="7"/>
  <c r="C11" i="7"/>
  <c r="B11" i="7"/>
  <c r="F10" i="7"/>
  <c r="E10" i="7"/>
  <c r="D10" i="7"/>
  <c r="C10" i="7"/>
  <c r="B10" i="7"/>
  <c r="F9" i="7"/>
  <c r="E9" i="7"/>
  <c r="D9" i="7"/>
  <c r="C9" i="7"/>
  <c r="B9" i="7"/>
  <c r="F8" i="7"/>
  <c r="E8" i="7"/>
  <c r="D8" i="7"/>
  <c r="C8" i="7"/>
  <c r="B8" i="7"/>
  <c r="F7" i="7"/>
  <c r="E7" i="7"/>
  <c r="D7" i="7"/>
  <c r="C7" i="7"/>
  <c r="B7" i="7"/>
  <c r="F6" i="7"/>
  <c r="E6" i="7"/>
  <c r="D6" i="7"/>
  <c r="C6" i="7"/>
  <c r="B6" i="7"/>
  <c r="F5" i="7"/>
  <c r="E5" i="7"/>
  <c r="D5" i="7"/>
  <c r="C5" i="7"/>
  <c r="B5" i="7"/>
  <c r="F4" i="7"/>
  <c r="E4" i="7"/>
  <c r="D4" i="7"/>
  <c r="C4" i="7"/>
  <c r="B4" i="7"/>
  <c r="F3" i="7"/>
  <c r="E3" i="7"/>
  <c r="D3" i="7"/>
  <c r="C3" i="7"/>
  <c r="B3" i="7"/>
  <c r="F2" i="7"/>
  <c r="E2" i="7"/>
  <c r="C2" i="7"/>
  <c r="B2" i="7"/>
  <c r="H16" i="7" l="1"/>
  <c r="H4" i="7"/>
  <c r="I4" i="7" s="1"/>
  <c r="H8" i="7"/>
  <c r="H12" i="7"/>
  <c r="H18" i="7"/>
  <c r="H22" i="7"/>
  <c r="H6" i="7"/>
  <c r="I6" i="7" s="1"/>
  <c r="H10" i="7"/>
  <c r="H14" i="7"/>
  <c r="H20" i="7"/>
  <c r="H24" i="7"/>
  <c r="H5" i="7"/>
  <c r="I5" i="7" s="1"/>
  <c r="H9" i="7"/>
  <c r="H13" i="7"/>
  <c r="H17" i="7"/>
  <c r="H21" i="7"/>
  <c r="H2" i="7"/>
  <c r="I2" i="7" s="1"/>
  <c r="H3" i="7"/>
  <c r="I3" i="7" s="1"/>
  <c r="H7" i="7"/>
  <c r="H11" i="7"/>
  <c r="H15" i="7"/>
  <c r="H19" i="7"/>
  <c r="H23" i="7"/>
  <c r="F18" i="6" l="1"/>
  <c r="E18" i="6"/>
  <c r="D18" i="6"/>
  <c r="C18" i="6"/>
  <c r="B18" i="6"/>
  <c r="F17" i="6"/>
  <c r="E17" i="6"/>
  <c r="D17" i="6"/>
  <c r="C17" i="6"/>
  <c r="B17" i="6"/>
  <c r="F16" i="6"/>
  <c r="E16" i="6"/>
  <c r="D16" i="6"/>
  <c r="C16" i="6"/>
  <c r="B16" i="6"/>
  <c r="F15" i="6"/>
  <c r="E15" i="6"/>
  <c r="D15" i="6"/>
  <c r="C15" i="6"/>
  <c r="B15" i="6"/>
  <c r="F14" i="6"/>
  <c r="E14" i="6"/>
  <c r="D14" i="6"/>
  <c r="C14" i="6"/>
  <c r="B14" i="6"/>
  <c r="F13" i="6"/>
  <c r="E13" i="6"/>
  <c r="D13" i="6"/>
  <c r="C13" i="6"/>
  <c r="B13" i="6"/>
  <c r="F12" i="6"/>
  <c r="E12" i="6"/>
  <c r="D12" i="6"/>
  <c r="C12" i="6"/>
  <c r="B12" i="6"/>
  <c r="F11" i="6"/>
  <c r="E11" i="6"/>
  <c r="D11" i="6"/>
  <c r="C11" i="6"/>
  <c r="B11" i="6"/>
  <c r="F10" i="6"/>
  <c r="E10" i="6"/>
  <c r="D10" i="6"/>
  <c r="C10" i="6"/>
  <c r="B10" i="6"/>
  <c r="F9" i="6"/>
  <c r="E9" i="6"/>
  <c r="D9" i="6"/>
  <c r="C9" i="6"/>
  <c r="B9" i="6"/>
  <c r="F8" i="6"/>
  <c r="E8" i="6"/>
  <c r="D8" i="6"/>
  <c r="C8" i="6"/>
  <c r="B8" i="6"/>
  <c r="F7" i="6"/>
  <c r="E7" i="6"/>
  <c r="D7" i="6"/>
  <c r="C7" i="6"/>
  <c r="B7" i="6"/>
  <c r="F6" i="6"/>
  <c r="E6" i="6"/>
  <c r="D6" i="6"/>
  <c r="C6" i="6"/>
  <c r="B6" i="6"/>
  <c r="F5" i="6"/>
  <c r="E5" i="6"/>
  <c r="D5" i="6"/>
  <c r="C5" i="6"/>
  <c r="B5" i="6"/>
  <c r="F4" i="6"/>
  <c r="E4" i="6"/>
  <c r="D4" i="6"/>
  <c r="C4" i="6"/>
  <c r="B4" i="6"/>
  <c r="F3" i="6"/>
  <c r="E3" i="6"/>
  <c r="D3" i="6"/>
  <c r="C3" i="6"/>
  <c r="B3" i="6"/>
  <c r="F2" i="6"/>
  <c r="E2" i="6"/>
  <c r="D2" i="6"/>
  <c r="C2" i="6"/>
  <c r="B2" i="6"/>
  <c r="H16" i="6" l="1"/>
  <c r="I16" i="6" s="1"/>
  <c r="H3" i="6"/>
  <c r="I3" i="6" s="1"/>
  <c r="H7" i="6"/>
  <c r="I7" i="6" s="1"/>
  <c r="H11" i="6"/>
  <c r="I11" i="6" s="1"/>
  <c r="H15" i="6"/>
  <c r="I15" i="6" s="1"/>
  <c r="H13" i="6"/>
  <c r="I13" i="6" s="1"/>
  <c r="H17" i="6"/>
  <c r="I17" i="6" s="1"/>
  <c r="H5" i="6"/>
  <c r="I5" i="6" s="1"/>
  <c r="H9" i="6"/>
  <c r="I9" i="6" s="1"/>
  <c r="H2" i="6"/>
  <c r="I2" i="6" s="1"/>
  <c r="H6" i="6"/>
  <c r="I6" i="6" s="1"/>
  <c r="H10" i="6"/>
  <c r="I10" i="6" s="1"/>
  <c r="H14" i="6"/>
  <c r="I14" i="6" s="1"/>
  <c r="H18" i="6"/>
  <c r="I18" i="6" s="1"/>
  <c r="H8" i="6"/>
  <c r="I8" i="6" s="1"/>
  <c r="H4" i="6"/>
  <c r="I4" i="6" s="1"/>
  <c r="H12" i="6"/>
  <c r="I12" i="6" s="1"/>
  <c r="C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" i="2"/>
  <c r="C13" i="2"/>
  <c r="C14" i="2"/>
  <c r="C15" i="2"/>
  <c r="C16" i="2"/>
  <c r="C17" i="2"/>
  <c r="C18" i="2"/>
  <c r="C19" i="2"/>
  <c r="C20" i="2"/>
  <c r="C21" i="2"/>
  <c r="C22" i="2"/>
  <c r="C23" i="2"/>
  <c r="C3" i="2"/>
  <c r="C4" i="2"/>
  <c r="C5" i="2"/>
  <c r="C6" i="2"/>
  <c r="C7" i="2"/>
  <c r="C8" i="2"/>
  <c r="C9" i="2"/>
  <c r="C10" i="2"/>
  <c r="C11" i="2"/>
  <c r="C12" i="2"/>
  <c r="I19" i="2" l="1"/>
  <c r="I20" i="2"/>
  <c r="I16" i="2"/>
  <c r="I11" i="2"/>
  <c r="I18" i="2"/>
  <c r="I10" i="2"/>
  <c r="I8" i="2"/>
  <c r="I12" i="2"/>
  <c r="I7" i="2"/>
  <c r="I23" i="2"/>
  <c r="I15" i="2"/>
  <c r="I22" i="2"/>
  <c r="I14" i="2"/>
  <c r="I21" i="2"/>
  <c r="I17" i="2"/>
  <c r="I13" i="2"/>
  <c r="I9" i="2"/>
  <c r="H2" i="2"/>
  <c r="I2" i="2" s="1"/>
  <c r="H9" i="2"/>
  <c r="H5" i="2"/>
  <c r="I5" i="2" s="1"/>
  <c r="H15" i="2"/>
  <c r="H12" i="2"/>
  <c r="H8" i="2"/>
  <c r="H4" i="2"/>
  <c r="I4" i="2" s="1"/>
  <c r="H22" i="2"/>
  <c r="H18" i="2"/>
  <c r="H14" i="2"/>
  <c r="H7" i="2"/>
  <c r="H21" i="2"/>
  <c r="H17" i="2"/>
  <c r="H13" i="2"/>
  <c r="H23" i="2"/>
  <c r="H19" i="2"/>
  <c r="H11" i="2"/>
  <c r="H10" i="2"/>
  <c r="H6" i="2"/>
  <c r="I6" i="2" s="1"/>
  <c r="H3" i="2"/>
  <c r="I3" i="2" s="1"/>
  <c r="H20" i="2"/>
  <c r="H16" i="2"/>
</calcChain>
</file>

<file path=xl/sharedStrings.xml><?xml version="1.0" encoding="utf-8"?>
<sst xmlns="http://schemas.openxmlformats.org/spreadsheetml/2006/main" count="535" uniqueCount="254">
  <si>
    <t>SERVIDOR</t>
  </si>
  <si>
    <t>INSTANCIA</t>
  </si>
  <si>
    <t>BASE</t>
  </si>
  <si>
    <t>BDHIS_MINSA</t>
  </si>
  <si>
    <t>RUTA SCRIPT</t>
  </si>
  <si>
    <t>SCRIPT PARA BATCH</t>
  </si>
  <si>
    <t>NOMBRE SERVIDOR</t>
  </si>
  <si>
    <t>NOMBRE BASE DATOS</t>
  </si>
  <si>
    <t>INSTANCIA BASE DATOS</t>
  </si>
  <si>
    <t>RUTA DE ARCHIVOS</t>
  </si>
  <si>
    <t>PASOS A SEGUIR</t>
  </si>
  <si>
    <t>USUARIO</t>
  </si>
  <si>
    <t>CONTRASEÑA</t>
  </si>
  <si>
    <t>RUTA DE RESULTADOS</t>
  </si>
  <si>
    <t>dbo.MAESTRO_HIS_CIE_CPMS.Table</t>
  </si>
  <si>
    <t>dbo.MAESTRO_HIS_COLEGIO.Table</t>
  </si>
  <si>
    <t>dbo.MAESTRO_HIS_CONDICION_CONTRATO.Table</t>
  </si>
  <si>
    <t>dbo.MAESTRO_HIS_ESTABLECIMIENTO.Table</t>
  </si>
  <si>
    <t>dbo.MAESTRO_HIS_ETNIA.Table</t>
  </si>
  <si>
    <t>dbo.MAESTRO_HIS_FINANCIADOR.Table</t>
  </si>
  <si>
    <t>dbo.MAESTRO_HIS_OTRA_CONDICION.Table</t>
  </si>
  <si>
    <t>dbo.MAESTRO_HIS_PAIS.Table</t>
  </si>
  <si>
    <t>dbo.MAESTRO_HIS_PROFESION.Table</t>
  </si>
  <si>
    <t>dbo.MAESTRO_HIS_TIPO_DOC.Table</t>
  </si>
  <si>
    <t>dbo.MAESTRO_HIS_UBIGEO_INEI_RENIEC.Table</t>
  </si>
  <si>
    <t>dbo.MAESTRO_HIS_UPS.Table</t>
  </si>
  <si>
    <t>HISMINSA_LOCAL_001_SCRIPT_LIMPIAR_TABLAS</t>
  </si>
  <si>
    <t>HISMINSA_LOCAL_002_SCRIPT_VALIDACION_TABLAS</t>
  </si>
  <si>
    <t>HISMINSA_LOCAL_003_SCRIPT_IMPORTAR_ARCHIVOS_PLANOS</t>
  </si>
  <si>
    <t>HISMINSA_LOCAL_000_SCRIPT_CREA_BASE_DATOS</t>
  </si>
  <si>
    <t>master</t>
  </si>
  <si>
    <t>dbo.MAESTRO_HIS_CENTRO_POBLADO.Table</t>
  </si>
  <si>
    <t>HISMINSA_INTEGRACION_000_SCRIPT_CREAR_BASE_DATOS</t>
  </si>
  <si>
    <t>HISMINSA_INTEGRACION_001_SCRIPT_CREACION_TABLAS</t>
  </si>
  <si>
    <t>SQLEXPRESS</t>
  </si>
  <si>
    <t>C:\HISMINSA\Scripts\</t>
  </si>
  <si>
    <t>C:\HISMINSA\Resultados\</t>
  </si>
  <si>
    <t>dbo.DimPeriodo.Table</t>
  </si>
  <si>
    <t>HISMINSA_LOCAL_004_SCRIPT_VISTAS_TABLAS_MAESTRAS_ARCHIVOS_PLANOS</t>
  </si>
  <si>
    <t>USP_TRAMA_BASE_ESNI_RPT</t>
  </si>
  <si>
    <t>dbo.DimESNIDosis2_2019.Table</t>
  </si>
  <si>
    <t>dbo.DimESNIDosis3_2019.Table</t>
  </si>
  <si>
    <t>dbo.DimESNIDosis4_2019.Table</t>
  </si>
  <si>
    <t>dbo.DimESNIDosis5_2019.Table</t>
  </si>
  <si>
    <t>dbo.DimESNIDosis6_2019.Table</t>
  </si>
  <si>
    <t>dbo.DimESNIDosis7_2019.Table</t>
  </si>
  <si>
    <t>dbo.DimESNIDosis_2019.Table</t>
  </si>
  <si>
    <t>dbo.DimESNIEdad_2019.Table</t>
  </si>
  <si>
    <t>dbo.DimESNIEsni2_2019.Table</t>
  </si>
  <si>
    <t>dbo.DimESNIEsni3_2019.Table</t>
  </si>
  <si>
    <t>dbo.DimESNIEsni_2019.Table</t>
  </si>
  <si>
    <t>dbo.DimESNIEtapa2_2019.Table</t>
  </si>
  <si>
    <t>dbo.DimESNIEtapa3_2019.Table</t>
  </si>
  <si>
    <t>dbo.DimESNIEtapa4_2019.Table</t>
  </si>
  <si>
    <t>dbo.DimESNIEtapa_2019.Table</t>
  </si>
  <si>
    <t>dbo.DimESNIGedad2_2019.Table</t>
  </si>
  <si>
    <t>dbo.DimESNIGedad3_2019.Table</t>
  </si>
  <si>
    <t>dbo.DimESNIGedad_2019.Table</t>
  </si>
  <si>
    <t>dbo.DimESNIGrupo2_2019.Table</t>
  </si>
  <si>
    <t>dbo.DimESNIGrupo3_2019.Table</t>
  </si>
  <si>
    <t>dbo.DimESNIGrupo4_2019.Table</t>
  </si>
  <si>
    <t>dbo.DimESNIGrupo5_2019.Table</t>
  </si>
  <si>
    <t>dbo.DimESNIGrupo_2019.Table</t>
  </si>
  <si>
    <t>ESNI</t>
  </si>
  <si>
    <t>ferfefrefe</t>
  </si>
  <si>
    <t>CARPETA</t>
  </si>
  <si>
    <t>ARCHIVO_PLANO</t>
  </si>
  <si>
    <t>MAESTROS</t>
  </si>
  <si>
    <t>INTEGRACION</t>
  </si>
  <si>
    <r>
      <rPr>
        <b/>
        <sz val="14"/>
        <color theme="0"/>
        <rFont val="Arial"/>
        <family val="2"/>
      </rPr>
      <t>Oficina General de Tecnologías de la Información
Oficina de Gestión de la Información</t>
    </r>
    <r>
      <rPr>
        <b/>
        <sz val="12"/>
        <color theme="0"/>
        <rFont val="Arial"/>
        <family val="2"/>
      </rPr>
      <t xml:space="preserve">
Copyright Todos los derechos reservados
Soporte, consultas y sugerencias
mjaramillo@minsa.gob.pe</t>
    </r>
  </si>
  <si>
    <t>USP_INTEGRACION_generarJsonIntegracion</t>
  </si>
  <si>
    <t>USP_INTEGRACION_UPD_DEPURA</t>
  </si>
  <si>
    <t>CONFIGURACION DE SCRIPT Y BAT SQL PARA LA EXPLOTACION E INTEGRACION DE INFORMACION HISMINSA</t>
  </si>
  <si>
    <t>1. Actualizar los valores de NOMBRE SERVIDOR, NOMBRE BASE DATOS, INSTANCIA BASE DATOS, RUTA DE ARCHIVOS. Y si tienes un usuario y clave de sql llenar los campos donde se solicitan.
2. La pestaña instancia actualizar o agregar el nombre del archivo sql, la columna es de color verde.
3. Clic en GENERAR ARCHIVOS BAT y esperar que el mensaje de confirmación de la generación de los BAT. Se guardaran en la carpeta C:\HISMINSA\Bat</t>
  </si>
  <si>
    <t>dbo.MAESTRO_HIS_ACTIVIDAD_HIS.Table</t>
  </si>
  <si>
    <t>fn_calcEdad_Fecha</t>
  </si>
  <si>
    <t>dbo.TRAMAHIS_DTSG.Table</t>
  </si>
  <si>
    <t>dbo.MAESTRO_HIS_SISTEMA.Table</t>
  </si>
  <si>
    <t>ITSVIH</t>
  </si>
  <si>
    <t>USP_TRAMA_BASE_ITSVIH_RPT</t>
  </si>
  <si>
    <t>dbo.DimItsVihCondicion01_2019.Table</t>
  </si>
  <si>
    <t>dbo.DimItsVihCondicion02_2019.Table</t>
  </si>
  <si>
    <t>dbo.DimItsVihCondicion11_2019.Table</t>
  </si>
  <si>
    <t>dbo.DimItsVihCondicion15_2019.Table</t>
  </si>
  <si>
    <t>dbo.DimItsVihCondicion21_2019.Table</t>
  </si>
  <si>
    <t>dbo.DimItsVihCondicion23_2019.Table</t>
  </si>
  <si>
    <t>dbo.DimItsVihDiagnostico01_2019.Table</t>
  </si>
  <si>
    <t>dbo.DimItsVihDiagnostico02_2019.Table</t>
  </si>
  <si>
    <t>dbo.DimItsVihDiagnostico03_2019.Table</t>
  </si>
  <si>
    <t>dbo.DimItsVihDiagnostico04_2019.Table</t>
  </si>
  <si>
    <t>dbo.DimItsVihDiagnostico05_2019.Table</t>
  </si>
  <si>
    <t>dbo.DimItsVihDiagnostico06_2019.Table</t>
  </si>
  <si>
    <t>dbo.DimItsVihDiagnostico07_2019.Table</t>
  </si>
  <si>
    <t>dbo.DimItsVihDiagnostico08_2019.Table</t>
  </si>
  <si>
    <t>dbo.DimItsVihDiagnostico09_2019.Table</t>
  </si>
  <si>
    <t>dbo.DimItsVihDiagnostico10_2019.Table</t>
  </si>
  <si>
    <t>dbo.DimItsVihDiagnostico11_2019.Table</t>
  </si>
  <si>
    <t>dbo.DimItsVihDiagnostico12_2019.Table</t>
  </si>
  <si>
    <t>dbo.DimItsVihDiagnostico13_2019.Table</t>
  </si>
  <si>
    <t>dbo.DimItsVihDiagnostico14_2019.Table</t>
  </si>
  <si>
    <t>dbo.DimItsVihDiagnostico15_2019.Table</t>
  </si>
  <si>
    <t>dbo.DimItsVihDiagnostico16_2019.Table</t>
  </si>
  <si>
    <t>dbo.DimItsVihDiagnostico17_2019.Table</t>
  </si>
  <si>
    <t>dbo.DimItsVihDiagnostico18_2019.Table</t>
  </si>
  <si>
    <t>dbo.DimItsVihDiagnostico19_2019.Table</t>
  </si>
  <si>
    <t>dbo.DimItsVihDiagnostico20_2019.Table</t>
  </si>
  <si>
    <t>dbo.DimItsVihDiagnostico21_2019.Table</t>
  </si>
  <si>
    <t>dbo.DimItsVihDiagnostico22_2019.Table</t>
  </si>
  <si>
    <t>dbo.DimItsVihDiagnostico23_2019.Table</t>
  </si>
  <si>
    <t>dbo.DimItsVihDiagnostico24_2019.Table</t>
  </si>
  <si>
    <t>dbo.DimItsVihDiagnostico25_2019.Table</t>
  </si>
  <si>
    <t>dbo.DimItsVihDiagnostico26_2019.Table</t>
  </si>
  <si>
    <t>dbo.DimItsVihEtapa.Table</t>
  </si>
  <si>
    <t>dbo.DimItsVihGrupo10_2019.Table</t>
  </si>
  <si>
    <t>dbo.DimItsVihGrupo11_2019.Table</t>
  </si>
  <si>
    <t>dbo.DimItsVihGrupo12_2019.Table</t>
  </si>
  <si>
    <t>dbo.DimItsVihGrupo13_2019.Table</t>
  </si>
  <si>
    <t>dbo.DimItsVihGrupo14_2019.Table</t>
  </si>
  <si>
    <t>dbo.DimItsVihGrupo15_2019.Table</t>
  </si>
  <si>
    <t>dbo.DimItsVihGrupo18_2019.Table</t>
  </si>
  <si>
    <t>dbo.DimItsVihGrupo19_2019.Table</t>
  </si>
  <si>
    <t>dbo.DimItsVihGrupo20_2019.Table</t>
  </si>
  <si>
    <t>dbo.DimItsVihGrupo21_2019.Table</t>
  </si>
  <si>
    <t>dbo.DimItsVihGrupo22_2019.Table</t>
  </si>
  <si>
    <t>dbo.DimItsVihGrupo23_2019.Table</t>
  </si>
  <si>
    <t>dbo.DimItsVihGrupo24_2019.Table</t>
  </si>
  <si>
    <t>dbo.DimItsVihGrupo25_2019.Table</t>
  </si>
  <si>
    <t>dbo.DimItsVihGrupo26_2019.Table</t>
  </si>
  <si>
    <t>dbo.DimItsVihTrimestre08_2019.Table</t>
  </si>
  <si>
    <t>dbo.TRAMA_BASE_ITS_VIH_RPT01_01_POBLACION_GENERAL_CONTACTOS_CONSOLIDADO.Table</t>
  </si>
  <si>
    <t>dbo.TRAMA_BASE_ITS_VIH_RPT01_01_POBLACION_GENERAL_CONTACTOS_NOMINAL.Table</t>
  </si>
  <si>
    <t>dbo.TRAMA_BASE_ITS_VIH_RPT01_POBLACION_GENERAL_CONSOLIDADO.Table</t>
  </si>
  <si>
    <t>dbo.TRAMA_BASE_ITS_VIH_RPT01_POBLACION_GENERAL_NOMINAL.Table</t>
  </si>
  <si>
    <t>dbo.TRAMA_BASE_ITS_VIH_RPT02_HEPATITIS_B_CONSOLIDADO.Table</t>
  </si>
  <si>
    <t>dbo.TRAMA_BASE_ITS_VIH_RPT02_HEPATITIS_B_NOMINAL.Table</t>
  </si>
  <si>
    <t>dbo.TRAMA_BASE_ITS_VIH_RPT03_POBLACION_GENERAL_TAMIZAJE_CONSOLIDADO.Table</t>
  </si>
  <si>
    <t>dbo.TRAMA_BASE_ITS_VIH_RPT03_POBLACION_GENERAL_TAMIZAJE_NOMINAL.Table</t>
  </si>
  <si>
    <t>dbo.TRAMA_BASE_ITS_VIH_RPT04_EXPOSICION_VIH_CONSOLIDADO.Table</t>
  </si>
  <si>
    <t>dbo.TRAMA_BASE_ITS_VIH_RPT04_EXPOSICION_VIH_NOMINAL.Table</t>
  </si>
  <si>
    <t>dbo.TRAMA_BASE_ITS_VIH_RPT05_PVVIH_ATENCION_INTEGRAL_CONSOLIDADO.Table</t>
  </si>
  <si>
    <t>dbo.TRAMA_BASE_ITS_VIH_RPT05_PVVIH_ATENCION_INTEGRAL_NOMINAL.Table</t>
  </si>
  <si>
    <t>dbo.TRAMA_BASE_ITS_VIH_RPT06_01_GESTANTES_RN_CONSOLIDADO.Table</t>
  </si>
  <si>
    <t>dbo.TRAMA_BASE_ITS_VIH_RPT06_01_GESTANTES_RN_NOMINAL.Table</t>
  </si>
  <si>
    <t>dbo.TRAMA_BASE_ITS_VIH_RPT06_02_GESTANTES_RN_CONSOLIDADO.Table</t>
  </si>
  <si>
    <t>dbo.TRAMA_BASE_ITS_VIH_RPT06_02_GESTANTES_RN_NOMINAL.Table</t>
  </si>
  <si>
    <t>dbo.TRAMA_BASE_ITS_VIH_RPT06_03_GESTANTES_RN_CONSOLIDADO.Table</t>
  </si>
  <si>
    <t>dbo.TRAMA_BASE_ITS_VIH_RPT06_03_GESTANTES_RN_NOMINAL.Table</t>
  </si>
  <si>
    <t>dbo.TRAMA_BASE_ITS_VIH_RPT07_TRABAJADORES_SEXUALES_CONSOLIDADO.Table</t>
  </si>
  <si>
    <t>dbo.TRAMA_BASE_ITS_VIH_RPT07_TRABAJADORES_SEXUALES_NOMINAL.Table</t>
  </si>
  <si>
    <t>dbo.TRAMA_BASE_ITS_VIH_RPT08_01_TRABAJADORES_SEXUALES_ITS_TRATADOS_CONSOLIDADO.Table</t>
  </si>
  <si>
    <t>dbo.TRAMA_BASE_ITS_VIH_RPT08_01_TRABAJADORES_SEXUALES_ITS_TRATADOS_NOMINAL.Table</t>
  </si>
  <si>
    <t>dbo.TRAMA_BASE_ITS_VIH_RPT08_TRABAJADORES_SEXUALES_ITS_CONSOLIDADO.Table</t>
  </si>
  <si>
    <t>dbo.TRAMA_BASE_ITS_VIH_RPT08_TRABAJADORES_SEXUALES_ITS_NOMINAL.Table</t>
  </si>
  <si>
    <t>dbo.TRAMA_BASE_ITS_VIH_RPT09_TRANS_CONSOLIDADO.Table</t>
  </si>
  <si>
    <t>dbo.TRAMA_BASE_ITS_VIH_RPT09_TRANS_NOMINAL.Table</t>
  </si>
  <si>
    <t>dbo.TRAMA_BASE_ITS_VIH_RPT10_TRABAJADORES_SEXUALES_TRANS_ITS_CONSOLIDADO.Table</t>
  </si>
  <si>
    <t>dbo.TRAMA_BASE_ITS_VIH_RPT10_TRABAJADORES_SEXUALES_TRANS_ITS_NOMINAL.Table</t>
  </si>
  <si>
    <t>dbo.TRAMA_BASE_ITS_VIH_RPT10_TRABAJADORES_SEXUALES_TRANS_ITS_TRATADOS_CONSOLIDADO.Table</t>
  </si>
  <si>
    <t>dbo.TRAMA_BASE_ITS_VIH_RPT10_TRABAJADORES_SEXUALES_TRANS_ITS_TRATADOS_NOMINAL.Table</t>
  </si>
  <si>
    <t>dbo.TRAMA_BASE_ITS_VIH_RPT11_HEPATITIS_C_CONSOLIDADO.Table</t>
  </si>
  <si>
    <t>dbo.TRAMA_BASE_ITS_VIH_RPT11_HEPATITIS_C_NOMINAL.Table</t>
  </si>
  <si>
    <t>dbo.TRAMA_BASE_ITS_VIH_RPT12_POBLACION_GENERAL_TAMIZAJE_SIFILIS_CONSOLIDADO.Table</t>
  </si>
  <si>
    <t>dbo.TRAMA_BASE_ITS_VIH_RPT12_POBLACION_GENERAL_TAMIZAJE_SIFILIS_NOMINAL.Table</t>
  </si>
  <si>
    <t>dbo.TRAMA_BASE_ITS_VIH_RPT13_POBLACION_CLAVE_TAMIZAJE_SIFILIS_CONSOLIDADO.Table</t>
  </si>
  <si>
    <t>dbo.TRAMA_BASE_ITS_VIH_RPT13_POBLACION_CLAVE_TAMIZAJE_SIFILIS_NOMINAL.Table</t>
  </si>
  <si>
    <t>dbo.TRAMA_BASE_ITS_VIH_RPT13_POBLACION_CLAVE_TS_SIFILIS_CONSOLIDADO.Table</t>
  </si>
  <si>
    <t>dbo.TRAMA_BASE_ITS_VIH_RPT13_POBLACION_CLAVE_TS_SIFILIS_NOMINAL.Table</t>
  </si>
  <si>
    <t>dbo.TRAMA_BASE_ITS_VIH_RPT14_POBLACION_CLAVE_TAMIZAJE_VIH_CONSOLIDADO.Table</t>
  </si>
  <si>
    <t>dbo.TRAMA_BASE_ITS_VIH_RPT14_POBLACION_CLAVE_TAMIZAJE_VIH_NOMINAL.Table</t>
  </si>
  <si>
    <t>dbo.TRAMA_BASE_ITS_VIH_RPT15_01_POBLACION_CLAVE_ITS_TS_TRATADOS_CONSOLIDADO.Table</t>
  </si>
  <si>
    <t>dbo.TRAMA_BASE_ITS_VIH_RPT15_01_POBLACION_CLAVE_ITS_TS_TRATADOS_NOMINAL.Table</t>
  </si>
  <si>
    <t>dbo.TRAMA_BASE_ITS_VIH_RPT15_POBLACION_CLAVE_ITS_TS_CONSOLIDADO.Table</t>
  </si>
  <si>
    <t>dbo.TRAMA_BASE_ITS_VIH_RPT15_POBLACION_CLAVE_ITS_TS_NOMINAL.Table</t>
  </si>
  <si>
    <t>dbo.TRAMA_BASE_ITS_VIH_RPT16_01_POBLACION_CLAVE_ITS_TRANS_TRATADOS_CONSOLIDADO.Table</t>
  </si>
  <si>
    <t>dbo.TRAMA_BASE_ITS_VIH_RPT16_01_POBLACION_CLAVE_ITS_TRANS_TRATADOS_NOMINAL.Table</t>
  </si>
  <si>
    <t>dbo.TRAMA_BASE_ITS_VIH_RPT16_POBLACION_CLAVE_ITS_TRANS_CONSOLIDADO.Table</t>
  </si>
  <si>
    <t>dbo.TRAMA_BASE_ITS_VIH_RPT16_POBLACION_CLAVE_ITS_TRANS_NOMINAL.Table</t>
  </si>
  <si>
    <t>dbo.TRAMA_BASE_ITS_VIH_RPT17_POBLACION_CLAVE_HSH_TRANS_MOVILES_CONSOLIDADO.Table</t>
  </si>
  <si>
    <t>dbo.TRAMA_BASE_ITS_VIH_RPT17_POBLACION_CLAVE_HSH_TRANS_MOVILES_NOMINAL.Table</t>
  </si>
  <si>
    <t>dbo.TRAMA_BASE_ITS_VIH_RPT18_POBLACION_CLAVE_TS_MOVILES_CONSOLIDADO.Table</t>
  </si>
  <si>
    <t>dbo.TRAMA_BASE_ITS_VIH_RPT18_POBLACION_CLAVE_TS_MOVILES_NOMINAL.Table</t>
  </si>
  <si>
    <t>dbo.usp_TRAMA_BASE_ITS_VIH_RPT01_01_POBLACION_GENERAL_CONTACTOS_2019.StoredProcedure</t>
  </si>
  <si>
    <t>dbo.usp_TRAMA_BASE_ITS_VIH_RPT01_POBLACION_GENERAL_2019.StoredProcedure</t>
  </si>
  <si>
    <t>dbo.usp_TRAMA_BASE_ITS_VIH_RPT02_HEPATITIS_B_2019.StoredProcedure</t>
  </si>
  <si>
    <t>dbo.usp_TRAMA_BASE_ITS_VIH_RPT03_POBLACION_GENERAL_TAMIZAJE_2019.StoredProcedure</t>
  </si>
  <si>
    <t>dbo.usp_TRAMA_BASE_ITS_VIH_RPT04_EXPOSICION_VIH_2019.StoredProcedure</t>
  </si>
  <si>
    <t>dbo.usp_TRAMA_BASE_ITS_VIH_RPT05_PVVIH_ATENCION_INTEGRAL_2019.StoredProcedure</t>
  </si>
  <si>
    <t>dbo.usp_TRAMA_BASE_ITS_VIH_RPT06_01_GESTANTES_RN_2019.StoredProcedure</t>
  </si>
  <si>
    <t>dbo.usp_TRAMA_BASE_ITS_VIH_RPT06_02_GESTANTES_RN_2019.StoredProcedure</t>
  </si>
  <si>
    <t>dbo.usp_TRAMA_BASE_ITS_VIH_RPT06_03_GESTANTES_RN_2019.StoredProcedure</t>
  </si>
  <si>
    <t>dbo.usp_TRAMA_BASE_ITS_VIH_RPT07_TRABAJADORES_SEXUALES_2019.StoredProcedure</t>
  </si>
  <si>
    <t>dbo.usp_TRAMA_BASE_ITS_VIH_RPT08_01_TRABAJADORES_SEXUALES_ITS_TRATADOS_2019.StoredProcedure</t>
  </si>
  <si>
    <t>dbo.usp_TRAMA_BASE_ITS_VIH_RPT08_TRABAJADORES_SEXUALES_ITS_2019.StoredProcedure</t>
  </si>
  <si>
    <t>dbo.usp_TRAMA_BASE_ITS_VIH_RPT09_TRANS_2019.StoredProcedure</t>
  </si>
  <si>
    <t>dbo.usp_TRAMA_BASE_ITS_VIH_RPT10_TRABAJADORES_SEXUALES_TRANS_ITS_2019.StoredProcedure</t>
  </si>
  <si>
    <t>dbo.usp_TRAMA_BASE_ITS_VIH_RPT10_TRABAJADORES_SEXUALES_TRANS_ITS_TRATADOS_2019.StoredProcedure</t>
  </si>
  <si>
    <t>dbo.usp_TRAMA_BASE_ITS_VIH_RPT11_HEPATITIS_C_2019.StoredProcedure</t>
  </si>
  <si>
    <t>dbo.usp_TRAMA_BASE_ITS_VIH_RPT12_POBLACION_GENERAL_TAMIZAJE_SIFILIS_2019.StoredProcedure</t>
  </si>
  <si>
    <t>dbo.usp_TRAMA_BASE_ITS_VIH_RPT13_POBLACION_CLAVE_TAMIZAJE_SIFILIS_2019.StoredProcedure</t>
  </si>
  <si>
    <t>dbo.usp_TRAMA_BASE_ITS_VIH_RPT13_POBLACION_CLAVE_TS_SIFILIS_2019.StoredProcedure</t>
  </si>
  <si>
    <t>dbo.usp_TRAMA_BASE_ITS_VIH_RPT14_POBLACION_CLAVE_TAMIZAJE_VIH_2019.StoredProcedure</t>
  </si>
  <si>
    <t>dbo.usp_TRAMA_BASE_ITS_VIH_RPT15_01_POBLACION_CLAVE_ITS_TS_TRATADOS_2019.StoredProcedure</t>
  </si>
  <si>
    <t>dbo.usp_TRAMA_BASE_ITS_VIH_RPT15_POBLACION_CLAVE_ITS_TS_2019.StoredProcedure</t>
  </si>
  <si>
    <t>dbo.usp_TRAMA_BASE_ITS_VIH_RPT16_01_POBLACION_CLAVE_ITS_TRANS_TRATADOS_2019.StoredProcedure</t>
  </si>
  <si>
    <t>dbo.usp_TRAMA_BASE_ITS_VIH_RPT16_POBLACION_CLAVE_ITS_TRANS_2019.StoredProcedure</t>
  </si>
  <si>
    <t>dbo.usp_TRAMA_BASE_ITS_VIH_RPT17_POBLACION_CLAVE_HSH_TRANS_MOVILES_2019.StoredProcedure</t>
  </si>
  <si>
    <t>dbo.usp_TRAMA_BASE_ITS_VIH_RPT18_POBLACION_CLAVE_TS_MOVILES_2019.StoredProcedure</t>
  </si>
  <si>
    <t>dbo.DimSexo.Table</t>
  </si>
  <si>
    <t>dbo.usp_TRAMA_BASE_ESNI_RPT_01_REPORTE_A_2019.StoredProcedure</t>
  </si>
  <si>
    <t>dbo.usp_TRAMA_BASE_ESNI_RPT_02_REPORTE_B_2019.StoredProcedure</t>
  </si>
  <si>
    <t>dbo.usp_TRAMA_BASE_ESNI_RPT_03_REPORTE_C_2019.StoredProcedure</t>
  </si>
  <si>
    <t>dbo.usp_TRAMA_BASE_ESNI_RPT_04_REPORTE_H2_2019.StoredProcedure</t>
  </si>
  <si>
    <t>dbo.usp_TRAMA_BASE_ESNI_RPT_04_REPORTE_H_2019.StoredProcedure</t>
  </si>
  <si>
    <t>dbo.usp_TRAMA_BASE_ESNI_RPT_04_REPORTE_I_2019.StoredProcedure</t>
  </si>
  <si>
    <t>dbo.usp_TRAMA_BASE_ESNI_RPT_09_REPORTE_J_2019.StoredProcedure</t>
  </si>
  <si>
    <t>dbo.usp_TRAMA_BASE_ESNI_RPT_10_REPORTE_K_2019.StoredProcedure</t>
  </si>
  <si>
    <t>dbo.usp_TRAMA_BASE_ESNI_RPT_11_REPORTE_L_2019.StoredProcedure</t>
  </si>
  <si>
    <t>dbo.usp_TRAMA_BASE_ESNI_RPT_12_REPORTE_M_2019.StoredProcedure</t>
  </si>
  <si>
    <t>dbo.usp_TRAMA_BASE_ESNI_RPT_13_REPORTE_N1_2019.StoredProcedure</t>
  </si>
  <si>
    <t>dbo.usp_TRAMA_BASE_ESNI_RPT_13_REPORTE_N_2019.StoredProcedure</t>
  </si>
  <si>
    <t>dbo.usp_TRAMA_BASE_ESNI_RPT_14_REPORTE_O_2019.StoredProcedure</t>
  </si>
  <si>
    <t>dbo.usp_TRAMA_BASE_ESNI_RPT_15_REPORTE_P_2019.StoredProcedure</t>
  </si>
  <si>
    <t>dbo.usp_TRAMA_BASE_ESNI_RPT_16_REPORTE_Q_2019.StoredProcedure</t>
  </si>
  <si>
    <t>dbo.TRAMA_BASE_ESNI_RPT_01_REPORTE_A_CONSOLIDADO.Table</t>
  </si>
  <si>
    <t>dbo.TRAMA_BASE_ESNI_RPT_01_REPORTE_A_NOMINAL.Table</t>
  </si>
  <si>
    <t>dbo.TRAMA_BASE_ESNI_RPT_02_REPORTE_B_CONSOLIDADO.Table</t>
  </si>
  <si>
    <t>dbo.TRAMA_BASE_ESNI_RPT_02_REPORTE_B_NOMINAL.Table</t>
  </si>
  <si>
    <t>dbo.TRAMA_BASE_ESNI_RPT_03_REPORTE_C_CONSOLIDADO.Table</t>
  </si>
  <si>
    <t>dbo.TRAMA_BASE_ESNI_RPT_03_REPORTE_C_NOMINAL.Table</t>
  </si>
  <si>
    <t>dbo.TRAMA_BASE_ESNI_RPT_04_REPORTE_H2_CONSOLIDADO.Table</t>
  </si>
  <si>
    <t>dbo.TRAMA_BASE_ESNI_RPT_04_REPORTE_H2_NOMINAL.Table</t>
  </si>
  <si>
    <t>dbo.TRAMA_BASE_ESNI_RPT_04_REPORTE_H_CONSOLIDADO.Table</t>
  </si>
  <si>
    <t>dbo.TRAMA_BASE_ESNI_RPT_04_REPORTE_H_NOMINAL.Table</t>
  </si>
  <si>
    <t>dbo.TRAMA_BASE_ESNI_RPT_04_REPORTE_I_CONSOLIDADO.Table</t>
  </si>
  <si>
    <t>dbo.TRAMA_BASE_ESNI_RPT_04_REPORTE_I_NOMINAL.Table</t>
  </si>
  <si>
    <t>dbo.TRAMA_BASE_ESNI_RPT_09_REPORTE_J_CONSOLIDADO.Table</t>
  </si>
  <si>
    <t>dbo.TRAMA_BASE_ESNI_RPT_09_REPORTE_J_NOMINAL.Table</t>
  </si>
  <si>
    <t>dbo.TRAMA_BASE_ESNI_RPT_10_REPORTE_K_CONSOLIDADO.Table</t>
  </si>
  <si>
    <t>dbo.TRAMA_BASE_ESNI_RPT_10_REPORTE_K_NOMINAL.Table</t>
  </si>
  <si>
    <t>dbo.TRAMA_BASE_ESNI_RPT_11_REPORTE_L_CONSOLIDADO.Table</t>
  </si>
  <si>
    <t>dbo.TRAMA_BASE_ESNI_RPT_11_REPORTE_L_NOMINAL.Table</t>
  </si>
  <si>
    <t>dbo.TRAMA_BASE_ESNI_RPT_12_REPORTE_M_CONSOLIDADO.Table</t>
  </si>
  <si>
    <t>dbo.TRAMA_BASE_ESNI_RPT_12_REPORTE_M_NOMINAL.Table</t>
  </si>
  <si>
    <t>dbo.TRAMA_BASE_ESNI_RPT_13_REPORTE_N1_CONSOLIDADO.Table</t>
  </si>
  <si>
    <t>dbo.TRAMA_BASE_ESNI_RPT_13_REPORTE_N1_NOMINAL.Table</t>
  </si>
  <si>
    <t>dbo.TRAMA_BASE_ESNI_RPT_13_REPORTE_N_CONSOLIDADO.Table</t>
  </si>
  <si>
    <t>dbo.TRAMA_BASE_ESNI_RPT_13_REPORTE_N_NOMINAL.Table</t>
  </si>
  <si>
    <t>dbo.TRAMA_BASE_ESNI_RPT_14_REPORTE_O_CONSOLIDADO.Table</t>
  </si>
  <si>
    <t>dbo.TRAMA_BASE_ESNI_RPT_14_REPORTE_O_NOMINAL.Table</t>
  </si>
  <si>
    <t>dbo.TRAMA_BASE_ESNI_RPT_15_REPORTE_P_CONSOLIDADO.Table</t>
  </si>
  <si>
    <t>dbo.TRAMA_BASE_ESNI_RPT_15_REPORTE_P_NOMINAL.Table</t>
  </si>
  <si>
    <t>dbo.TRAMA_BASE_ESNI_RPT_16_REPORTE_Q_CONSOLIDADO.Table</t>
  </si>
  <si>
    <t>dbo.TRAMA_BASE_ESNI_RPT_16_REPORTE_Q_NOMINAL.Table</t>
  </si>
  <si>
    <t>UEIHNE01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</si>
</sst>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</font>
    <font>
      <b/>
      <sz val="12"/>
      <color theme="0"/>
      <name val="Arial"/>
      <family val="2"/>
    </font>
    <font>
      <b/>
      <sz val="14"/>
      <color theme="0"/>
      <name val="Arial"/>
      <family val="2"/>
    </font>
    <font>
      <sz val="10"/>
      <name val="Arial"/>
      <family val="2"/>
    </font>
    <font>
      <sz val="12"/>
      <color theme="0"/>
      <name val="Arial"/>
      <family val="2"/>
    </font>
    <font>
      <sz val="18"/>
      <color theme="0"/>
      <name val="Calibri"/>
      <family val="2"/>
    </font>
    <font>
      <b/>
      <sz val="18"/>
      <color theme="0"/>
      <name val="Arial"/>
      <family val="2"/>
    </font>
    <font>
      <b/>
      <sz val="15"/>
      <color theme="0"/>
      <name val="Arial"/>
      <family val="2"/>
    </font>
    <font>
      <u/>
      <sz val="9"/>
      <color rgb="FF000000"/>
      <name val="Calibri"/>
      <family val="2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30549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/>
      <bottom style="medium">
        <color rgb="FFA3A3A3"/>
      </bottom>
      <diagonal/>
    </border>
    <border>
      <left/>
      <right style="medium">
        <color rgb="FFA3A3A3"/>
      </right>
      <top/>
      <bottom style="medium">
        <color rgb="FFA3A3A3"/>
      </bottom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 style="double">
        <color rgb="FFFF0000"/>
      </left>
      <right/>
      <top/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double">
        <color rgb="FFFF0000"/>
      </left>
      <right/>
      <top style="double">
        <color rgb="FFFF0000"/>
      </top>
      <bottom style="double">
        <color rgb="FFFF0000"/>
      </bottom>
      <diagonal/>
    </border>
    <border>
      <left/>
      <right/>
      <top style="double">
        <color rgb="FFFF0000"/>
      </top>
      <bottom style="double">
        <color rgb="FFFF0000"/>
      </bottom>
      <diagonal/>
    </border>
    <border>
      <left/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</borders>
  <cellStyleXfs count="2">
    <xf numFmtId="0" fontId="0" fillId="0" borderId="0"/>
    <xf numFmtId="0" fontId="6" fillId="0" borderId="0"/>
  </cellStyleXfs>
  <cellXfs count="3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2" fillId="0" borderId="0" xfId="0" applyFont="1"/>
    <xf numFmtId="0" fontId="2" fillId="0" borderId="0" xfId="0" applyFont="1" applyAlignment="1">
      <alignment vertical="center"/>
    </xf>
    <xf numFmtId="0" fontId="3" fillId="3" borderId="4" xfId="0" applyFont="1" applyFill="1" applyBorder="1" applyAlignment="1">
      <alignment vertical="center" wrapText="1"/>
    </xf>
    <xf numFmtId="0" fontId="0" fillId="4" borderId="0" xfId="0" applyFill="1"/>
    <xf numFmtId="0" fontId="6" fillId="4" borderId="0" xfId="1" applyFill="1"/>
    <xf numFmtId="0" fontId="8" fillId="4" borderId="16" xfId="0" applyFont="1" applyFill="1" applyBorder="1" applyAlignment="1">
      <alignment horizontal="center" vertical="center" wrapText="1"/>
    </xf>
    <xf numFmtId="0" fontId="10" fillId="5" borderId="16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11" fillId="3" borderId="4" xfId="0" applyFont="1" applyFill="1" applyBorder="1" applyAlignment="1">
      <alignment vertical="center" wrapText="1"/>
    </xf>
    <xf numFmtId="0" fontId="8" fillId="6" borderId="1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4" borderId="0" xfId="0" applyFont="1" applyFill="1" applyBorder="1" applyAlignment="1">
      <alignment horizontal="center" vertical="center" wrapText="1"/>
    </xf>
    <xf numFmtId="0" fontId="4" fillId="4" borderId="9" xfId="0" applyFont="1" applyFill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 vertical="center" wrapText="1"/>
    </xf>
    <xf numFmtId="0" fontId="4" fillId="4" borderId="11" xfId="0" applyFont="1" applyFill="1" applyBorder="1" applyAlignment="1">
      <alignment horizontal="center" vertical="center" wrapText="1"/>
    </xf>
    <xf numFmtId="0" fontId="4" fillId="4" borderId="12" xfId="0" applyFont="1" applyFill="1" applyBorder="1" applyAlignment="1">
      <alignment horizontal="center" vertical="center" wrapText="1"/>
    </xf>
    <xf numFmtId="0" fontId="9" fillId="5" borderId="13" xfId="0" applyFont="1" applyFill="1" applyBorder="1" applyAlignment="1">
      <alignment horizontal="center" vertical="center" wrapText="1"/>
    </xf>
    <xf numFmtId="0" fontId="9" fillId="5" borderId="14" xfId="0" applyFont="1" applyFill="1" applyBorder="1" applyAlignment="1">
      <alignment horizontal="center" vertical="center" wrapText="1"/>
    </xf>
    <xf numFmtId="0" fontId="9" fillId="5" borderId="15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left" vertical="center" wrapText="1"/>
    </xf>
    <xf numFmtId="0" fontId="7" fillId="4" borderId="6" xfId="0" applyFont="1" applyFill="1" applyBorder="1" applyAlignment="1">
      <alignment horizontal="left" vertical="center" wrapText="1"/>
    </xf>
    <xf numFmtId="0" fontId="7" fillId="4" borderId="7" xfId="0" applyFont="1" applyFill="1" applyBorder="1" applyAlignment="1">
      <alignment horizontal="left" vertical="center" wrapText="1"/>
    </xf>
    <xf numFmtId="0" fontId="7" fillId="4" borderId="8" xfId="0" applyFont="1" applyFill="1" applyBorder="1" applyAlignment="1">
      <alignment horizontal="left" vertical="center" wrapText="1"/>
    </xf>
    <xf numFmtId="0" fontId="7" fillId="4" borderId="0" xfId="0" applyFont="1" applyFill="1" applyAlignment="1">
      <alignment horizontal="left" vertical="center" wrapText="1"/>
    </xf>
    <xf numFmtId="0" fontId="7" fillId="4" borderId="9" xfId="0" applyFont="1" applyFill="1" applyBorder="1" applyAlignment="1">
      <alignment horizontal="left" vertical="center" wrapText="1"/>
    </xf>
    <xf numFmtId="0" fontId="7" fillId="4" borderId="10" xfId="0" applyFont="1" applyFill="1" applyBorder="1" applyAlignment="1">
      <alignment horizontal="left" vertical="center" wrapText="1"/>
    </xf>
    <xf numFmtId="0" fontId="7" fillId="4" borderId="11" xfId="0" applyFont="1" applyFill="1" applyBorder="1" applyAlignment="1">
      <alignment horizontal="left" vertical="center" wrapText="1"/>
    </xf>
    <xf numFmtId="0" fontId="7" fillId="4" borderId="12" xfId="0" applyFont="1" applyFill="1" applyBorder="1" applyAlignment="1">
      <alignment horizontal="left" vertical="center" wrapText="1"/>
    </xf>
    <xf numFmtId="0" fontId="13" fillId="4" borderId="11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9</xdr:row>
      <xdr:rowOff>104775</xdr:rowOff>
    </xdr:from>
    <xdr:to>
      <xdr:col>2</xdr:col>
      <xdr:colOff>2428875</xdr:colOff>
      <xdr:row>12</xdr:row>
      <xdr:rowOff>57150</xdr:rowOff>
    </xdr:to>
    <xdr:sp macro="[0]!CREAR_ARCHIVOS_BAT_ARCHIVOS_PLAN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6F39D1-045B-4DE8-84C3-DEC3A0A8CFE7}"/>
            </a:ext>
          </a:extLst>
        </xdr:cNvPr>
        <xdr:cNvSpPr/>
      </xdr:nvSpPr>
      <xdr:spPr>
        <a:xfrm>
          <a:off x="819150" y="4191000"/>
          <a:ext cx="4905375" cy="5334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rgbClr val="FF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GENERAR ARCHIVOS</a:t>
          </a:r>
          <a:r>
            <a:rPr lang="es-PE" sz="1600" b="1" baseline="0"/>
            <a:t> BAT - ARCHIVOS PLANOS</a:t>
          </a:r>
          <a:endParaRPr lang="es-PE" sz="1600" b="1"/>
        </a:p>
      </xdr:txBody>
    </xdr:sp>
    <xdr:clientData/>
  </xdr:twoCellAnchor>
  <xdr:twoCellAnchor>
    <xdr:from>
      <xdr:col>3</xdr:col>
      <xdr:colOff>104775</xdr:colOff>
      <xdr:row>9</xdr:row>
      <xdr:rowOff>104775</xdr:rowOff>
    </xdr:from>
    <xdr:to>
      <xdr:col>4</xdr:col>
      <xdr:colOff>2476500</xdr:colOff>
      <xdr:row>12</xdr:row>
      <xdr:rowOff>57150</xdr:rowOff>
    </xdr:to>
    <xdr:sp macro="[0]!CREAR_ARCHIVOS_BAT_INTEGRACIO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1A45468-0EAA-497B-B3B4-60A9A83D903C}"/>
            </a:ext>
          </a:extLst>
        </xdr:cNvPr>
        <xdr:cNvSpPr/>
      </xdr:nvSpPr>
      <xdr:spPr>
        <a:xfrm>
          <a:off x="5934075" y="4191000"/>
          <a:ext cx="4905375" cy="5334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rgbClr val="FF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GENERAR ARCHIVOS BAT - INTEGRACION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6"/>
  <sheetViews>
    <sheetView showGridLines="0" tabSelected="1" topLeftCell="A7" workbookViewId="0">
      <selection activeCell="C6" sqref="C6"/>
    </sheetView>
  </sheetViews>
  <sheetFormatPr baseColWidth="10" defaultRowHeight="15" x14ac:dyDescent="0.25"/>
  <cols>
    <col min="1" max="1" width="11.42578125" style="9"/>
    <col min="2" max="5" width="38" style="9" customWidth="1"/>
    <col min="6" max="16384" width="11.42578125" style="9"/>
  </cols>
  <sheetData>
    <row r="1" spans="1:12" ht="15.75" thickBot="1" x14ac:dyDescent="0.3"/>
    <row r="2" spans="1:12" ht="22.5" thickTop="1" thickBot="1" x14ac:dyDescent="0.3">
      <c r="A2" s="9" t="s">
        <v>64</v>
      </c>
      <c r="B2" s="38" t="s">
        <v>72</v>
      </c>
      <c r="C2" s="38"/>
      <c r="D2" s="38"/>
      <c r="E2" s="38"/>
      <c r="G2" s="17" t="s">
        <v>69</v>
      </c>
      <c r="H2" s="18"/>
      <c r="I2" s="18"/>
      <c r="J2" s="18"/>
      <c r="K2" s="18"/>
      <c r="L2" s="19"/>
    </row>
    <row r="3" spans="1:12" ht="15.75" thickTop="1" x14ac:dyDescent="0.25">
      <c r="G3" s="20"/>
      <c r="H3" s="21"/>
      <c r="I3" s="21"/>
      <c r="J3" s="21"/>
      <c r="K3" s="21"/>
      <c r="L3" s="22"/>
    </row>
    <row r="4" spans="1:12" ht="15.75" thickBot="1" x14ac:dyDescent="0.3">
      <c r="G4" s="20"/>
      <c r="H4" s="21"/>
      <c r="I4" s="21"/>
      <c r="J4" s="21"/>
      <c r="K4" s="21"/>
      <c r="L4" s="22"/>
    </row>
    <row r="5" spans="1:12" ht="40.5" customHeight="1" thickTop="1" thickBot="1" x14ac:dyDescent="0.3">
      <c r="B5" s="12" t="s">
        <v>6</v>
      </c>
      <c r="C5" s="12" t="s">
        <v>7</v>
      </c>
      <c r="D5" s="12" t="s">
        <v>8</v>
      </c>
      <c r="E5" s="12" t="s">
        <v>9</v>
      </c>
      <c r="G5" s="20"/>
      <c r="H5" s="21"/>
      <c r="I5" s="21"/>
      <c r="J5" s="21"/>
      <c r="K5" s="21"/>
      <c r="L5" s="22"/>
    </row>
    <row r="6" spans="1:12" ht="83.25" customHeight="1" thickTop="1" thickBot="1" x14ac:dyDescent="0.3">
      <c r="B6" s="15" t="s">
        <v>253</v>
      </c>
      <c r="C6" s="11" t="s">
        <v>3</v>
      </c>
      <c r="D6" s="15" t="s">
        <v>34</v>
      </c>
      <c r="E6" s="11" t="s">
        <v>35</v>
      </c>
      <c r="G6" s="23"/>
      <c r="H6" s="24"/>
      <c r="I6" s="24"/>
      <c r="J6" s="24"/>
      <c r="K6" s="24"/>
      <c r="L6" s="25"/>
    </row>
    <row r="7" spans="1:12" ht="16.5" thickTop="1" thickBot="1" x14ac:dyDescent="0.3">
      <c r="G7" s="10"/>
      <c r="H7" s="10"/>
      <c r="I7" s="10"/>
      <c r="J7" s="10"/>
      <c r="K7" s="10"/>
      <c r="L7" s="10"/>
    </row>
    <row r="8" spans="1:12" ht="30.75" customHeight="1" thickTop="1" thickBot="1" x14ac:dyDescent="0.3">
      <c r="B8" s="12" t="s">
        <v>13</v>
      </c>
      <c r="C8" s="12" t="s">
        <v>11</v>
      </c>
      <c r="D8" s="12" t="s">
        <v>12</v>
      </c>
      <c r="E8" s="12"/>
      <c r="G8" s="26" t="s">
        <v>10</v>
      </c>
      <c r="H8" s="27"/>
      <c r="I8" s="27"/>
      <c r="J8" s="27"/>
      <c r="K8" s="27"/>
      <c r="L8" s="28"/>
    </row>
    <row r="9" spans="1:12" ht="81" customHeight="1" thickTop="1" thickBot="1" x14ac:dyDescent="0.3">
      <c r="B9" s="11" t="s">
        <v>36</v>
      </c>
      <c r="C9" s="15"/>
      <c r="D9" s="15"/>
      <c r="E9" s="11"/>
      <c r="G9" s="29" t="s">
        <v>73</v>
      </c>
      <c r="H9" s="30"/>
      <c r="I9" s="30"/>
      <c r="J9" s="30"/>
      <c r="K9" s="30"/>
      <c r="L9" s="31"/>
    </row>
    <row r="10" spans="1:12" ht="15.75" thickTop="1" x14ac:dyDescent="0.25">
      <c r="G10" s="32"/>
      <c r="H10" s="33"/>
      <c r="I10" s="33"/>
      <c r="J10" s="33"/>
      <c r="K10" s="33"/>
      <c r="L10" s="34"/>
    </row>
    <row r="11" spans="1:12" x14ac:dyDescent="0.25">
      <c r="G11" s="32"/>
      <c r="H11" s="33"/>
      <c r="I11" s="33"/>
      <c r="J11" s="33"/>
      <c r="K11" s="33"/>
      <c r="L11" s="34"/>
    </row>
    <row r="12" spans="1:12" x14ac:dyDescent="0.25">
      <c r="G12" s="32"/>
      <c r="H12" s="33"/>
      <c r="I12" s="33"/>
      <c r="J12" s="33"/>
      <c r="K12" s="33"/>
      <c r="L12" s="34"/>
    </row>
    <row r="13" spans="1:12" x14ac:dyDescent="0.25">
      <c r="G13" s="32"/>
      <c r="H13" s="33"/>
      <c r="I13" s="33"/>
      <c r="J13" s="33"/>
      <c r="K13" s="33"/>
      <c r="L13" s="34"/>
    </row>
    <row r="14" spans="1:12" x14ac:dyDescent="0.25">
      <c r="G14" s="32"/>
      <c r="H14" s="33"/>
      <c r="I14" s="33"/>
      <c r="J14" s="33"/>
      <c r="K14" s="33"/>
      <c r="L14" s="34"/>
    </row>
    <row r="15" spans="1:12" ht="15.75" thickBot="1" x14ac:dyDescent="0.3">
      <c r="G15" s="35"/>
      <c r="H15" s="36"/>
      <c r="I15" s="36"/>
      <c r="J15" s="36"/>
      <c r="K15" s="36"/>
      <c r="L15" s="37"/>
    </row>
    <row r="16" spans="1:12" ht="15.75" thickTop="1" x14ac:dyDescent="0.25"/>
  </sheetData>
  <mergeCells count="4">
    <mergeCell ref="G2:L6"/>
    <mergeCell ref="G8:L8"/>
    <mergeCell ref="G9:L15"/>
    <mergeCell ref="B2:E2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23"/>
  <sheetViews>
    <sheetView workbookViewId="0">
      <selection activeCell="I5" sqref="I5:I6"/>
    </sheetView>
  </sheetViews>
  <sheetFormatPr baseColWidth="10" defaultColWidth="9.140625" defaultRowHeight="12" x14ac:dyDescent="0.2"/>
  <cols>
    <col min="1" max="2" width="14.7109375" style="6" bestFit="1" customWidth="1"/>
    <col min="3" max="3" width="13.140625" style="3" customWidth="1"/>
    <col min="4" max="4" width="11.5703125" style="6" bestFit="1" customWidth="1"/>
    <col min="5" max="6" width="11.5703125" style="3" customWidth="1"/>
    <col min="7" max="7" width="50.7109375" style="6" customWidth="1"/>
    <col min="8" max="8" width="62.5703125" style="6" bestFit="1" customWidth="1"/>
    <col min="9" max="9" width="101" style="6" customWidth="1"/>
    <col min="10" max="16384" width="9.140625" style="6"/>
  </cols>
  <sheetData>
    <row r="1" spans="1:9" s="3" customFormat="1" ht="12.75" thickBot="1" x14ac:dyDescent="0.25">
      <c r="A1" s="1" t="s">
        <v>65</v>
      </c>
      <c r="B1" s="1" t="s">
        <v>0</v>
      </c>
      <c r="C1" s="2" t="s">
        <v>1</v>
      </c>
      <c r="D1" s="2" t="s">
        <v>2</v>
      </c>
      <c r="E1" s="2" t="s">
        <v>11</v>
      </c>
      <c r="F1" s="2" t="s">
        <v>12</v>
      </c>
      <c r="G1" s="2" t="s">
        <v>4</v>
      </c>
      <c r="H1" s="2"/>
      <c r="I1" s="1" t="s">
        <v>5</v>
      </c>
    </row>
    <row r="2" spans="1:9" s="7" customFormat="1" ht="43.5" customHeight="1" thickBot="1" x14ac:dyDescent="0.3">
      <c r="A2" s="4" t="s">
        <v>66</v>
      </c>
      <c r="B2" s="4" t="str">
        <f>IF(MENU!$B$6="","INGRESE SERVIDOR",MENU!$B$6)</f>
        <v>UEIHNE01</v>
      </c>
      <c r="C2" s="13" t="str">
        <f>IF(MENU!$D$6="","",MENU!$D$6)</f>
        <v>SQLEXPRESS</v>
      </c>
      <c r="D2" s="5" t="s">
        <v>30</v>
      </c>
      <c r="E2" s="13" t="str">
        <f>IF(MENU!$C$9="","",MENU!$C$9)</f>
        <v/>
      </c>
      <c r="F2" s="13" t="str">
        <f>IF(MENU!$D$9="","",MENU!$D$9)</f>
        <v/>
      </c>
      <c r="G2" s="8" t="s">
        <v>29</v>
      </c>
      <c r="H2" s="5" t="str">
        <f t="shared" ref="H2:H23" si="0">IF(C2="",CONCATENATE("@echo Script ",G2, ".sql ejecutado en la Base de datos ", B2,"/",D2),CONCATENATE("@echo Script ",E2, " ejecutado en la Base de datos ", B2,"/",C2,"/",D2))</f>
        <v>@echo Script  ejecutado en la Base de datos UEIHNE01/SQLEXPRESS/master</v>
      </c>
      <c r="I2" s="4" t="str">
        <f>IF(OR(E2="",F2=""),IF(C2="",IF(G2="","",(CONCATENATE("sqlcmd -E -S ",B2," -d ",D2," -i ",MENU!$E$6,A2,"\",G2,".sql -o ",MENU!$B$9,G2, ".txt &amp; ",H2))),IF(G2="","",(CONCATENATE("sqlcmd -E -S ",B2,"\",C2," -d ",D2," -i ",MENU!$E$6,A2,"\",G2,".sql -o ",MENU!$B$9,G2, ".txt &amp; ",H2)))),IF(C2="",IF(G2="","",(CONCATENATE("sqlcmd -S ",B2," -d ",D2," -U ",E2," -P ",F2," -i ",MENU!$E$6,A2,"\",G2,".sql -o ",MENU!$B$9,G2, ".txt &amp; ",H2))),IF(G2="","",(CONCATENATE("sqlcmd -S ",B2,"\",C2," -d ",D2," -U ",E2," -P ",F2," -i ",MENU!$E$6,A2,"\",G2,".sql -o ",MENU!$B$9,G2, ".txt &amp; ",H2)))))</f>
        <v>sqlcmd -E -S UEIHNE01\SQLEXPRESS -d master -i C:\HISMINSA\Scripts\ARCHIVO_PLANO\HISMINSA_LOCAL_000_SCRIPT_CREA_BASE_DATOS.sql -o C:\HISMINSA\Resultados\HISMINSA_LOCAL_000_SCRIPT_CREA_BASE_DATOS.txt &amp; @echo Script  ejecutado en la Base de datos UEIHNE01/SQLEXPRESS/master</v>
      </c>
    </row>
    <row r="3" spans="1:9" s="7" customFormat="1" ht="43.5" customHeight="1" thickBot="1" x14ac:dyDescent="0.3">
      <c r="A3" s="4" t="s">
        <v>66</v>
      </c>
      <c r="B3" s="4" t="str">
        <f>IF(MENU!$B$6="","INGRESE SERVIDOR",MENU!$B$6)</f>
        <v>UEIHNE01</v>
      </c>
      <c r="C3" s="13" t="str">
        <f>IF(MENU!$D$6="","",MENU!$D$6)</f>
        <v>SQLEXPRESS</v>
      </c>
      <c r="D3" s="5" t="str">
        <f>IF(MENU!$C$6="","INGRESE BASE",MENU!$C$6)</f>
        <v>BDHIS_MINSA</v>
      </c>
      <c r="E3" s="13" t="str">
        <f>IF(MENU!$C$9="","",MENU!$C$9)</f>
        <v/>
      </c>
      <c r="F3" s="13" t="str">
        <f>IF(MENU!$D$9="","",MENU!$D$9)</f>
        <v/>
      </c>
      <c r="G3" s="8" t="s">
        <v>26</v>
      </c>
      <c r="H3" s="5" t="str">
        <f t="shared" si="0"/>
        <v>@echo Script  ejecutado en la Base de datos UEIHNE01/SQLEXPRESS/BDHIS_MINSA</v>
      </c>
      <c r="I3" s="4" t="str">
        <f>IF(OR(E3="",F3=""),IF(C3="",IF(G3="","",(CONCATENATE("sqlcmd -E -S ",B3," -d ",D3," -i ",MENU!$E$6,A3,"\",G3,".sql -o ",MENU!$B$9,G3, ".txt &amp; ",H3))),IF(G3="","",(CONCATENATE("sqlcmd -E -S ",B3,"\",C3," -d ",D3," -i ",MENU!$E$6,A3,"\",G3,".sql -o ",MENU!$B$9,G3, ".txt &amp; ",H3)))),IF(C3="",IF(G3="","",(CONCATENATE("sqlcmd -S ",B3," -d ",D3," -U ",E3," -P ",F3," -i ",MENU!$E$6,A3,"\",G3,".sql -o ",MENU!$B$9,G3, ".txt &amp; ",H3))),IF(G3="","",(CONCATENATE("sqlcmd -S ",B3,"\",C3," -d ",D3," -U ",E3," -P ",F3," -i ",MENU!$E$6,A3,"\",G3,".sql -o ",MENU!$B$9,G3, ".txt &amp; ",H3)))))</f>
        <v>sqlcmd -E -S UEIHNE01\SQLEXPRESS -d BDHIS_MINSA -i C:\HISMINSA\Scripts\ARCHIVO_PLANO\HISMINSA_LOCAL_001_SCRIPT_LIMPIAR_TABLAS.sql -o C:\HISMINSA\Resultados\HISMINSA_LOCAL_001_SCRIPT_LIMPIAR_TABLAS.txt &amp; @echo Script  ejecutado en la Base de datos UEIHNE01/SQLEXPRESS/BDHIS_MINSA</v>
      </c>
    </row>
    <row r="4" spans="1:9" ht="43.5" customHeight="1" thickBot="1" x14ac:dyDescent="0.25">
      <c r="A4" s="4" t="s">
        <v>66</v>
      </c>
      <c r="B4" s="4" t="str">
        <f>IF(MENU!$B$6="","INGRESE SERVIDOR",MENU!$B$6)</f>
        <v>UEIHNE01</v>
      </c>
      <c r="C4" s="13" t="str">
        <f>IF(MENU!$D$6="","",MENU!$D$6)</f>
        <v>SQLEXPRESS</v>
      </c>
      <c r="D4" s="5" t="str">
        <f>IF(MENU!$C$6="","INGRESE BASE",MENU!$C$6)</f>
        <v>BDHIS_MINSA</v>
      </c>
      <c r="E4" s="13" t="str">
        <f>IF(MENU!$C$9="","",MENU!$C$9)</f>
        <v/>
      </c>
      <c r="F4" s="13" t="str">
        <f>IF(MENU!$D$9="","",MENU!$D$9)</f>
        <v/>
      </c>
      <c r="G4" s="8" t="s">
        <v>27</v>
      </c>
      <c r="H4" s="5" t="str">
        <f t="shared" si="0"/>
        <v>@echo Script  ejecutado en la Base de datos UEIHNE01/SQLEXPRESS/BDHIS_MINSA</v>
      </c>
      <c r="I4" s="4" t="str">
        <f>IF(OR(E4="",F4=""),IF(C4="",IF(G4="","",(CONCATENATE("sqlcmd -E -S ",B4," -d ",D4," -i ",MENU!$E$6,A4,"\",G4,".sql -o ",MENU!$B$9,G4, ".txt &amp; ",H4))),IF(G4="","",(CONCATENATE("sqlcmd -E -S ",B4,"\",C4," -d ",D4," -i ",MENU!$E$6,A4,"\",G4,".sql -o ",MENU!$B$9,G4, ".txt &amp; ",H4)))),IF(C4="",IF(G4="","",(CONCATENATE("sqlcmd -S ",B4," -d ",D4," -U ",E4," -P ",F4," -i ",MENU!$E$6,A4,"\",G4,".sql -o ",MENU!$B$9,G4, ".txt &amp; ",H4))),IF(G4="","",(CONCATENATE("sqlcmd -S ",B4,"\",C4," -d ",D4," -U ",E4," -P ",F4," -i ",MENU!$E$6,A4,"\",G4,".sql -o ",MENU!$B$9,G4, ".txt &amp; ",H4)))))</f>
        <v>sqlcmd -E -S UEIHNE01\SQLEXPRESS -d BDHIS_MINSA -i C:\HISMINSA\Scripts\ARCHIVO_PLANO\HISMINSA_LOCAL_002_SCRIPT_VALIDACION_TABLAS.sql -o C:\HISMINSA\Resultados\HISMINSA_LOCAL_002_SCRIPT_VALIDACION_TABLAS.txt &amp; @echo Script  ejecutado en la Base de datos UEIHNE01/SQLEXPRESS/BDHIS_MINSA</v>
      </c>
    </row>
    <row r="5" spans="1:9" ht="43.5" customHeight="1" thickBot="1" x14ac:dyDescent="0.25">
      <c r="A5" s="4" t="s">
        <v>66</v>
      </c>
      <c r="B5" s="4" t="str">
        <f>IF(MENU!$B$6="","INGRESE SERVIDOR",MENU!$B$6)</f>
        <v>UEIHNE01</v>
      </c>
      <c r="C5" s="13" t="str">
        <f>IF(MENU!$D$6="","",MENU!$D$6)</f>
        <v>SQLEXPRESS</v>
      </c>
      <c r="D5" s="5" t="str">
        <f>IF(MENU!$C$6="","INGRESE BASE",MENU!$C$6)</f>
        <v>BDHIS_MINSA</v>
      </c>
      <c r="E5" s="13" t="str">
        <f>IF(MENU!$C$9="","",MENU!$C$9)</f>
        <v/>
      </c>
      <c r="F5" s="13" t="str">
        <f>IF(MENU!$D$9="","",MENU!$D$9)</f>
        <v/>
      </c>
      <c r="G5" s="8" t="s">
        <v>28</v>
      </c>
      <c r="H5" s="5" t="str">
        <f t="shared" si="0"/>
        <v>@echo Script  ejecutado en la Base de datos UEIHNE01/SQLEXPRESS/BDHIS_MINSA</v>
      </c>
      <c r="I5" s="4" t="str">
        <f>IF(OR(E5="",F5=""),IF(C5="",IF(G5="","",(CONCATENATE("sqlcmd -E -S ",B5," -d ",D5," -i ",MENU!$E$6,A5,"\",G5,".sql -o ",MENU!$B$9,G5, ".txt &amp; ",H5))),IF(G5="","",(CONCATENATE("sqlcmd -E -S ",B5,"\",C5," -d ",D5," -i ",MENU!$E$6,A5,"\",G5,".sql -o ",MENU!$B$9,G5, ".txt &amp; ",H5)))),IF(C5="",IF(G5="","",(CONCATENATE("sqlcmd -S ",B5," -d ",D5," -U ",E5," -P ",F5," -i ",MENU!$E$6,A5,"\",G5,".sql -o ",MENU!$B$9,G5, ".txt &amp; ",H5))),IF(G5="","",(CONCATENATE("sqlcmd -S ",B5,"\",C5," -d ",D5," -U ",E5," -P ",F5," -i ",MENU!$E$6,A5,"\",G5,".sql -o ",MENU!$B$9,G5, ".txt &amp; ",H5)))))</f>
        <v>sqlcmd -E -S UEIHNE01\SQLEXPRESS -d BDHIS_MINSA -i C:\HISMINSA\Scripts\ARCHIVO_PLANO\HISMINSA_LOCAL_003_SCRIPT_IMPORTAR_ARCHIVOS_PLANOS.sql -o C:\HISMINSA\Resultados\HISMINSA_LOCAL_003_SCRIPT_IMPORTAR_ARCHIVOS_PLANOS.txt &amp; @echo Script  ejecutado en la Base de datos UEIHNE01/SQLEXPRESS/BDHIS_MINSA</v>
      </c>
    </row>
    <row r="6" spans="1:9" ht="43.5" customHeight="1" thickBot="1" x14ac:dyDescent="0.25">
      <c r="A6" s="4" t="s">
        <v>66</v>
      </c>
      <c r="B6" s="4" t="str">
        <f>IF(MENU!$B$6="","INGRESE SERVIDOR",MENU!$B$6)</f>
        <v>UEIHNE01</v>
      </c>
      <c r="C6" s="13" t="str">
        <f>IF(MENU!$D$6="","",MENU!$D$6)</f>
        <v>SQLEXPRESS</v>
      </c>
      <c r="D6" s="5" t="str">
        <f>IF(MENU!$C$6="","INGRESE BASE",MENU!$C$6)</f>
        <v>BDHIS_MINSA</v>
      </c>
      <c r="E6" s="13" t="str">
        <f>IF(MENU!$C$9="","",MENU!$C$9)</f>
        <v/>
      </c>
      <c r="F6" s="13" t="str">
        <f>IF(MENU!$D$9="","",MENU!$D$9)</f>
        <v/>
      </c>
      <c r="G6" s="8" t="s">
        <v>38</v>
      </c>
      <c r="H6" s="5" t="str">
        <f t="shared" si="0"/>
        <v>@echo Script  ejecutado en la Base de datos UEIHNE01/SQLEXPRESS/BDHIS_MINSA</v>
      </c>
      <c r="I6" s="4" t="str">
        <f>IF(OR(E6="",F6=""),IF(C6="",IF(G6="","",(CONCATENATE("sqlcmd -E -S ",B6," -d ",D6," -i ",MENU!$E$6,A6,"\",G6,".sql -o ",MENU!$B$9,G6, ".txt &amp; ",H6))),IF(G6="","",(CONCATENATE("sqlcmd -E -S ",B6,"\",C6," -d ",D6," -i ",MENU!$E$6,A6,"\",G6,".sql -o ",MENU!$B$9,G6, ".txt &amp; ",H6)))),IF(C6="",IF(G6="","",(CONCATENATE("sqlcmd -S ",B6," -d ",D6," -U ",E6," -P ",F6," -i ",MENU!$E$6,A6,"\",G6,".sql -o ",MENU!$B$9,G6, ".txt &amp; ",H6))),IF(G6="","",(CONCATENATE("sqlcmd -S ",B6,"\",C6," -d ",D6," -U ",E6," -P ",F6," -i ",MENU!$E$6,A6,"\",G6,".sql -o ",MENU!$B$9,G6, ".txt &amp; ",H6)))))</f>
        <v>sqlcmd -E -S UEIHNE01\SQLEXPRESS -d BDHIS_MINSA -i C:\HISMINSA\Scripts\ARCHIVO_PLANO\HISMINSA_LOCAL_004_SCRIPT_VISTAS_TABLAS_MAESTRAS_ARCHIVOS_PLANOS.sql -o C:\HISMINSA\Resultados\HISMINSA_LOCAL_004_SCRIPT_VISTAS_TABLAS_MAESTRAS_ARCHIVOS_PLANOS.txt &amp; @echo Script  ejecutado en la Base de datos UEIHNE01/SQLEXPRESS/BDHIS_MINSA</v>
      </c>
    </row>
    <row r="7" spans="1:9" ht="43.5" customHeight="1" thickBot="1" x14ac:dyDescent="0.25">
      <c r="A7" s="4"/>
      <c r="B7" s="4" t="str">
        <f>IF(MENU!$B$6="","INGRESE SERVIDOR",MENU!$B$6)</f>
        <v>UEIHNE01</v>
      </c>
      <c r="C7" s="13" t="str">
        <f>IF(MENU!$D$6="","",MENU!$D$6)</f>
        <v>SQLEXPRESS</v>
      </c>
      <c r="D7" s="5" t="str">
        <f>IF(MENU!$C$6="","INGRESE BASE",MENU!$C$6)</f>
        <v>BDHIS_MINSA</v>
      </c>
      <c r="E7" s="13" t="str">
        <f>IF(MENU!$C$9="","",MENU!$C$9)</f>
        <v/>
      </c>
      <c r="F7" s="13" t="str">
        <f>IF(MENU!$D$9="","",MENU!$D$9)</f>
        <v/>
      </c>
      <c r="G7" s="14"/>
      <c r="H7" s="5" t="str">
        <f t="shared" si="0"/>
        <v>@echo Script  ejecutado en la Base de datos UEIHNE01/SQLEXPRESS/BDHIS_MINSA</v>
      </c>
      <c r="I7" s="4" t="str">
        <f>IF(OR(E7="",F7=""),IF(C7="",IF(G7="","",(CONCATENATE("sqlcmd -E -S ",B7," -d ",D7," -i ",MENU!$E$6,G7,".sql -o ",MENU!$B$9,G7, ".txt &amp; ",H7))),IF(G7="","",(CONCATENATE("sqlcmd -E -S ",B7,"\",C7," -d ",D7," -i ",MENU!$E$6,G7,".sql -o ",MENU!$B$9,G7, ".txt &amp; ",H7)))),IF(C7="",IF(G7="","",(CONCATENATE("sqlcmd -S ",B7," -d ",D7," -U ",E7," -P ",F7," -i ",MENU!$E$6,G7,".sql -o ",MENU!$B$9,G7, ".txt &amp; ",H7))),IF(G7="","",(CONCATENATE("sqlcmd -S ",B7,"\",C7," -d ",D7," -U ",E7," -P ",F7," -i ",MENU!$E$6,G7,".sql -o ",MENU!$B$9,G7, ".txt &amp; ",H7)))))</f>
        <v/>
      </c>
    </row>
    <row r="8" spans="1:9" ht="43.5" customHeight="1" thickBot="1" x14ac:dyDescent="0.25">
      <c r="A8" s="4"/>
      <c r="B8" s="4" t="str">
        <f>IF(MENU!$B$6="","INGRESE SERVIDOR",MENU!$B$6)</f>
        <v>UEIHNE01</v>
      </c>
      <c r="C8" s="13" t="str">
        <f>IF(MENU!$D$6="","",MENU!$D$6)</f>
        <v>SQLEXPRESS</v>
      </c>
      <c r="D8" s="5" t="str">
        <f>IF(MENU!$C$6="","INGRESE BASE",MENU!$C$6)</f>
        <v>BDHIS_MINSA</v>
      </c>
      <c r="E8" s="13" t="str">
        <f>IF(MENU!$C$9="","",MENU!$C$9)</f>
        <v/>
      </c>
      <c r="F8" s="13" t="str">
        <f>IF(MENU!$D$9="","",MENU!$D$9)</f>
        <v/>
      </c>
      <c r="G8" s="8"/>
      <c r="H8" s="5" t="str">
        <f t="shared" si="0"/>
        <v>@echo Script  ejecutado en la Base de datos UEIHNE01/SQLEXPRESS/BDHIS_MINSA</v>
      </c>
      <c r="I8" s="4" t="str">
        <f>IF(OR(E8="",F8=""),IF(C8="",IF(G8="","",(CONCATENATE("sqlcmd -E -S ",B8," -d ",D8," -i ",MENU!$E$6,G8,".sql -o ",MENU!$B$9,G8, ".txt &amp; ",H8))),IF(G8="","",(CONCATENATE("sqlcmd -E -S ",B8,"\",C8," -d ",D8," -i ",MENU!$E$6,G8,".sql -o ",MENU!$B$9,G8, ".txt &amp; ",H8)))),IF(C8="",IF(G8="","",(CONCATENATE("sqlcmd -S ",B8," -d ",D8," -U ",E8," -P ",F8," -i ",MENU!$E$6,G8,".sql -o ",MENU!$B$9,G8, ".txt &amp; ",H8))),IF(G8="","",(CONCATENATE("sqlcmd -S ",B8,"\",C8," -d ",D8," -U ",E8," -P ",F8," -i ",MENU!$E$6,G8,".sql -o ",MENU!$B$9,G8, ".txt &amp; ",H8)))))</f>
        <v/>
      </c>
    </row>
    <row r="9" spans="1:9" ht="43.5" customHeight="1" thickBot="1" x14ac:dyDescent="0.25">
      <c r="A9" s="4"/>
      <c r="B9" s="4" t="str">
        <f>IF(MENU!$B$6="","INGRESE SERVIDOR",MENU!$B$6)</f>
        <v>UEIHNE01</v>
      </c>
      <c r="C9" s="13" t="str">
        <f>IF(MENU!$D$6="","",MENU!$D$6)</f>
        <v>SQLEXPRESS</v>
      </c>
      <c r="D9" s="5" t="str">
        <f>IF(MENU!$C$6="","INGRESE BASE",MENU!$C$6)</f>
        <v>BDHIS_MINSA</v>
      </c>
      <c r="E9" s="13" t="str">
        <f>IF(MENU!$C$9="","",MENU!$C$9)</f>
        <v/>
      </c>
      <c r="F9" s="13" t="str">
        <f>IF(MENU!$D$9="","",MENU!$D$9)</f>
        <v/>
      </c>
      <c r="G9" s="8"/>
      <c r="H9" s="5" t="str">
        <f t="shared" si="0"/>
        <v>@echo Script  ejecutado en la Base de datos UEIHNE01/SQLEXPRESS/BDHIS_MINSA</v>
      </c>
      <c r="I9" s="4" t="str">
        <f>IF(OR(E9="",F9=""),IF(C9="",IF(G9="","",(CONCATENATE("sqlcmd -E -S ",B9," -d ",D9," -i ",MENU!$E$6,G9,".sql -o ",MENU!$B$9,G9, ".txt &amp; ",H9))),IF(G9="","",(CONCATENATE("sqlcmd -E -S ",B9,"\",C9," -d ",D9," -i ",MENU!$E$6,G9,".sql -o ",MENU!$B$9,G9, ".txt &amp; ",H9)))),IF(C9="",IF(G9="","",(CONCATENATE("sqlcmd -S ",B9," -d ",D9," -U ",E9," -P ",F9," -i ",MENU!$E$6,G9,".sql -o ",MENU!$B$9,G9, ".txt &amp; ",H9))),IF(G9="","",(CONCATENATE("sqlcmd -S ",B9,"\",C9," -d ",D9," -U ",E9," -P ",F9," -i ",MENU!$E$6,G9,".sql -o ",MENU!$B$9,G9, ".txt &amp; ",H9)))))</f>
        <v/>
      </c>
    </row>
    <row r="10" spans="1:9" ht="43.5" customHeight="1" thickBot="1" x14ac:dyDescent="0.25">
      <c r="A10" s="4"/>
      <c r="B10" s="4" t="str">
        <f>IF(MENU!$B$6="","INGRESE SERVIDOR",MENU!$B$6)</f>
        <v>UEIHNE01</v>
      </c>
      <c r="C10" s="13" t="str">
        <f>IF(MENU!$D$6="","",MENU!$D$6)</f>
        <v>SQLEXPRESS</v>
      </c>
      <c r="D10" s="5" t="str">
        <f>IF(MENU!$C$6="","INGRESE BASE",MENU!$C$6)</f>
        <v>BDHIS_MINSA</v>
      </c>
      <c r="E10" s="13" t="str">
        <f>IF(MENU!$C$9="","",MENU!$C$9)</f>
        <v/>
      </c>
      <c r="F10" s="13" t="str">
        <f>IF(MENU!$D$9="","",MENU!$D$9)</f>
        <v/>
      </c>
      <c r="G10" s="8"/>
      <c r="H10" s="5" t="str">
        <f t="shared" si="0"/>
        <v>@echo Script  ejecutado en la Base de datos UEIHNE01/SQLEXPRESS/BDHIS_MINSA</v>
      </c>
      <c r="I10" s="4" t="str">
        <f>IF(OR(E10="",F10=""),IF(C10="",IF(G10="","",(CONCATENATE("sqlcmd -E -S ",B10," -d ",D10," -i ",MENU!$E$6,G10,".sql -o ",MENU!$B$9,G10, ".txt &amp; ",H10))),IF(G10="","",(CONCATENATE("sqlcmd -E -S ",B10,"\",C10," -d ",D10," -i ",MENU!$E$6,G10,".sql -o ",MENU!$B$9,G10, ".txt &amp; ",H10)))),IF(C10="",IF(G10="","",(CONCATENATE("sqlcmd -S ",B10," -d ",D10," -U ",E10," -P ",F10," -i ",MENU!$E$6,G10,".sql -o ",MENU!$B$9,G10, ".txt &amp; ",H10))),IF(G10="","",(CONCATENATE("sqlcmd -S ",B10,"\",C10," -d ",D10," -U ",E10," -P ",F10," -i ",MENU!$E$6,G10,".sql -o ",MENU!$B$9,G10, ".txt &amp; ",H10)))))</f>
        <v/>
      </c>
    </row>
    <row r="11" spans="1:9" ht="43.5" customHeight="1" thickBot="1" x14ac:dyDescent="0.25">
      <c r="A11" s="4"/>
      <c r="B11" s="4" t="str">
        <f>IF(MENU!$B$6="","INGRESE SERVIDOR",MENU!$B$6)</f>
        <v>UEIHNE01</v>
      </c>
      <c r="C11" s="13" t="str">
        <f>IF(MENU!$D$6="","",MENU!$D$6)</f>
        <v>SQLEXPRESS</v>
      </c>
      <c r="D11" s="5" t="str">
        <f>IF(MENU!$C$6="","INGRESE BASE",MENU!$C$6)</f>
        <v>BDHIS_MINSA</v>
      </c>
      <c r="E11" s="13" t="str">
        <f>IF(MENU!$C$9="","",MENU!$C$9)</f>
        <v/>
      </c>
      <c r="F11" s="13" t="str">
        <f>IF(MENU!$D$9="","",MENU!$D$9)</f>
        <v/>
      </c>
      <c r="G11" s="8"/>
      <c r="H11" s="5" t="str">
        <f t="shared" si="0"/>
        <v>@echo Script  ejecutado en la Base de datos UEIHNE01/SQLEXPRESS/BDHIS_MINSA</v>
      </c>
      <c r="I11" s="4" t="str">
        <f>IF(OR(E11="",F11=""),IF(C11="",IF(G11="","",(CONCATENATE("sqlcmd -E -S ",B11," -d ",D11," -i ",MENU!$E$6,G11,".sql -o ",MENU!$B$9,G11, ".txt &amp; ",H11))),IF(G11="","",(CONCATENATE("sqlcmd -E -S ",B11,"\",C11," -d ",D11," -i ",MENU!$E$6,G11,".sql -o ",MENU!$B$9,G11, ".txt &amp; ",H11)))),IF(C11="",IF(G11="","",(CONCATENATE("sqlcmd -S ",B11," -d ",D11," -U ",E11," -P ",F11," -i ",MENU!$E$6,G11,".sql -o ",MENU!$B$9,G11, ".txt &amp; ",H11))),IF(G11="","",(CONCATENATE("sqlcmd -S ",B11,"\",C11," -d ",D11," -U ",E11," -P ",F11," -i ",MENU!$E$6,G11,".sql -o ",MENU!$B$9,G11, ".txt &amp; ",H11)))))</f>
        <v/>
      </c>
    </row>
    <row r="12" spans="1:9" ht="43.5" customHeight="1" thickBot="1" x14ac:dyDescent="0.25">
      <c r="A12" s="4"/>
      <c r="B12" s="4" t="str">
        <f>IF(MENU!$B$6="","INGRESE SERVIDOR",MENU!$B$6)</f>
        <v>UEIHNE01</v>
      </c>
      <c r="C12" s="13" t="str">
        <f>IF(MENU!$D$6="","",MENU!$D$6)</f>
        <v>SQLEXPRESS</v>
      </c>
      <c r="D12" s="5" t="str">
        <f>IF(MENU!$C$6="","INGRESE BASE",MENU!$C$6)</f>
        <v>BDHIS_MINSA</v>
      </c>
      <c r="E12" s="13" t="str">
        <f>IF(MENU!$C$9="","",MENU!$C$9)</f>
        <v/>
      </c>
      <c r="F12" s="13" t="str">
        <f>IF(MENU!$D$9="","",MENU!$D$9)</f>
        <v/>
      </c>
      <c r="G12" s="8"/>
      <c r="H12" s="5" t="str">
        <f t="shared" si="0"/>
        <v>@echo Script  ejecutado en la Base de datos UEIHNE01/SQLEXPRESS/BDHIS_MINSA</v>
      </c>
      <c r="I12" s="4" t="str">
        <f>IF(OR(E12="",F12=""),IF(C12="",IF(G12="","",(CONCATENATE("sqlcmd -E -S ",B12," -d ",D12," -i ",MENU!$E$6,G12,".sql -o ",MENU!$B$9,G12, ".txt &amp; ",H12))),IF(G12="","",(CONCATENATE("sqlcmd -E -S ",B12,"\",C12," -d ",D12," -i ",MENU!$E$6,G12,".sql -o ",MENU!$B$9,G12, ".txt &amp; ",H12)))),IF(C12="",IF(G12="","",(CONCATENATE("sqlcmd -S ",B12," -d ",D12," -U ",E12," -P ",F12," -i ",MENU!$E$6,G12,".sql -o ",MENU!$B$9,G12, ".txt &amp; ",H12))),IF(G12="","",(CONCATENATE("sqlcmd -S ",B12,"\",C12," -d ",D12," -U ",E12," -P ",F12," -i ",MENU!$E$6,G12,".sql -o ",MENU!$B$9,G12, ".txt &amp; ",H12)))))</f>
        <v/>
      </c>
    </row>
    <row r="13" spans="1:9" ht="43.5" customHeight="1" thickBot="1" x14ac:dyDescent="0.25">
      <c r="A13" s="4"/>
      <c r="B13" s="4" t="str">
        <f>IF(MENU!$B$6="","INGRESE SERVIDOR",MENU!$B$6)</f>
        <v>UEIHNE01</v>
      </c>
      <c r="C13" s="13" t="str">
        <f>IF(MENU!$D$6="","",MENU!$D$6)</f>
        <v>SQLEXPRESS</v>
      </c>
      <c r="D13" s="5" t="str">
        <f>IF(MENU!$C$6="","INGRESE BASE",MENU!$C$6)</f>
        <v>BDHIS_MINSA</v>
      </c>
      <c r="E13" s="13" t="str">
        <f>IF(MENU!$C$9="","",MENU!$C$9)</f>
        <v/>
      </c>
      <c r="F13" s="13" t="str">
        <f>IF(MENU!$D$9="","",MENU!$D$9)</f>
        <v/>
      </c>
      <c r="G13" s="8"/>
      <c r="H13" s="5" t="str">
        <f t="shared" si="0"/>
        <v>@echo Script  ejecutado en la Base de datos UEIHNE01/SQLEXPRESS/BDHIS_MINSA</v>
      </c>
      <c r="I13" s="4" t="str">
        <f>IF(OR(E13="",F13=""),IF(C13="",IF(G13="","",(CONCATENATE("sqlcmd -E -S ",B13," -d ",D13," -i ",MENU!$E$6,G13,".sql -o ",MENU!$B$9,G13, ".txt &amp; ",H13))),IF(G13="","",(CONCATENATE("sqlcmd -E -S ",B13,"\",C13," -d ",D13," -i ",MENU!$E$6,G13,".sql -o ",MENU!$B$9,G13, ".txt &amp; ",H13)))),IF(C13="",IF(G13="","",(CONCATENATE("sqlcmd -S ",B13," -d ",D13," -U ",E13," -P ",F13," -i ",MENU!$E$6,G13,".sql -o ",MENU!$B$9,G13, ".txt &amp; ",H13))),IF(G13="","",(CONCATENATE("sqlcmd -S ",B13,"\",C13," -d ",D13," -U ",E13," -P ",F13," -i ",MENU!$E$6,G13,".sql -o ",MENU!$B$9,G13, ".txt &amp; ",H13)))))</f>
        <v/>
      </c>
    </row>
    <row r="14" spans="1:9" ht="43.5" customHeight="1" thickBot="1" x14ac:dyDescent="0.25">
      <c r="A14" s="4"/>
      <c r="B14" s="4" t="str">
        <f>IF(MENU!$B$6="","INGRESE SERVIDOR",MENU!$B$6)</f>
        <v>UEIHNE01</v>
      </c>
      <c r="C14" s="13" t="str">
        <f>IF(MENU!$D$6="","",MENU!$D$6)</f>
        <v>SQLEXPRESS</v>
      </c>
      <c r="D14" s="5" t="str">
        <f>IF(MENU!$C$6="","INGRESE BASE",MENU!$C$6)</f>
        <v>BDHIS_MINSA</v>
      </c>
      <c r="E14" s="13" t="str">
        <f>IF(MENU!$C$9="","",MENU!$C$9)</f>
        <v/>
      </c>
      <c r="F14" s="13" t="str">
        <f>IF(MENU!$D$9="","",MENU!$D$9)</f>
        <v/>
      </c>
      <c r="G14" s="8"/>
      <c r="H14" s="5" t="str">
        <f t="shared" si="0"/>
        <v>@echo Script  ejecutado en la Base de datos UEIHNE01/SQLEXPRESS/BDHIS_MINSA</v>
      </c>
      <c r="I14" s="4" t="str">
        <f>IF(OR(E14="",F14=""),IF(C14="",IF(G14="","",(CONCATENATE("sqlcmd -E -S ",B14," -d ",D14," -i ",MENU!$E$6,G14,".sql -o ",MENU!$B$9,G14, ".txt &amp; ",H14))),IF(G14="","",(CONCATENATE("sqlcmd -E -S ",B14,"\",C14," -d ",D14," -i ",MENU!$E$6,G14,".sql -o ",MENU!$B$9,G14, ".txt &amp; ",H14)))),IF(C14="",IF(G14="","",(CONCATENATE("sqlcmd -S ",B14," -d ",D14," -U ",E14," -P ",F14," -i ",MENU!$E$6,G14,".sql -o ",MENU!$B$9,G14, ".txt &amp; ",H14))),IF(G14="","",(CONCATENATE("sqlcmd -S ",B14,"\",C14," -d ",D14," -U ",E14," -P ",F14," -i ",MENU!$E$6,G14,".sql -o ",MENU!$B$9,G14, ".txt &amp; ",H14)))))</f>
        <v/>
      </c>
    </row>
    <row r="15" spans="1:9" ht="43.5" customHeight="1" thickBot="1" x14ac:dyDescent="0.25">
      <c r="A15" s="4"/>
      <c r="B15" s="4" t="str">
        <f>IF(MENU!$B$6="","INGRESE SERVIDOR",MENU!$B$6)</f>
        <v>UEIHNE01</v>
      </c>
      <c r="C15" s="13" t="str">
        <f>IF(MENU!$D$6="","",MENU!$D$6)</f>
        <v>SQLEXPRESS</v>
      </c>
      <c r="D15" s="5" t="str">
        <f>IF(MENU!$C$6="","INGRESE BASE",MENU!$C$6)</f>
        <v>BDHIS_MINSA</v>
      </c>
      <c r="E15" s="13" t="str">
        <f>IF(MENU!$C$9="","",MENU!$C$9)</f>
        <v/>
      </c>
      <c r="F15" s="13" t="str">
        <f>IF(MENU!$D$9="","",MENU!$D$9)</f>
        <v/>
      </c>
      <c r="G15" s="8"/>
      <c r="H15" s="5" t="str">
        <f t="shared" si="0"/>
        <v>@echo Script  ejecutado en la Base de datos UEIHNE01/SQLEXPRESS/BDHIS_MINSA</v>
      </c>
      <c r="I15" s="4" t="str">
        <f>IF(OR(E15="",F15=""),IF(C15="",IF(G15="","",(CONCATENATE("sqlcmd -E -S ",B15," -d ",D15," -i ",MENU!$E$6,G15,".sql -o ",MENU!$B$9,G15, ".txt &amp; ",H15))),IF(G15="","",(CONCATENATE("sqlcmd -E -S ",B15,"\",C15," -d ",D15," -i ",MENU!$E$6,G15,".sql -o ",MENU!$B$9,G15, ".txt &amp; ",H15)))),IF(C15="",IF(G15="","",(CONCATENATE("sqlcmd -S ",B15," -d ",D15," -U ",E15," -P ",F15," -i ",MENU!$E$6,G15,".sql -o ",MENU!$B$9,G15, ".txt &amp; ",H15))),IF(G15="","",(CONCATENATE("sqlcmd -S ",B15,"\",C15," -d ",D15," -U ",E15," -P ",F15," -i ",MENU!$E$6,G15,".sql -o ",MENU!$B$9,G15, ".txt &amp; ",H15)))))</f>
        <v/>
      </c>
    </row>
    <row r="16" spans="1:9" ht="43.5" customHeight="1" thickBot="1" x14ac:dyDescent="0.25">
      <c r="A16" s="4"/>
      <c r="B16" s="4" t="str">
        <f>IF(MENU!$B$6="","INGRESE SERVIDOR",MENU!$B$6)</f>
        <v>UEIHNE01</v>
      </c>
      <c r="C16" s="13" t="str">
        <f>IF(MENU!$D$6="","",MENU!$D$6)</f>
        <v>SQLEXPRESS</v>
      </c>
      <c r="D16" s="5" t="str">
        <f>IF(MENU!$C$6="","INGRESE BASE",MENU!$C$6)</f>
        <v>BDHIS_MINSA</v>
      </c>
      <c r="E16" s="13" t="str">
        <f>IF(MENU!$C$9="","",MENU!$C$9)</f>
        <v/>
      </c>
      <c r="F16" s="13" t="str">
        <f>IF(MENU!$D$9="","",MENU!$D$9)</f>
        <v/>
      </c>
      <c r="G16" s="8"/>
      <c r="H16" s="5" t="str">
        <f t="shared" si="0"/>
        <v>@echo Script  ejecutado en la Base de datos UEIHNE01/SQLEXPRESS/BDHIS_MINSA</v>
      </c>
      <c r="I16" s="4" t="str">
        <f>IF(OR(E16="",F16=""),IF(C16="",IF(G16="","",(CONCATENATE("sqlcmd -E -S ",B16," -d ",D16," -i ",MENU!$E$6,G16,".sql -o ",MENU!$B$9,G16, ".txt &amp; ",H16))),IF(G16="","",(CONCATENATE("sqlcmd -E -S ",B16,"\",C16," -d ",D16," -i ",MENU!$E$6,G16,".sql -o ",MENU!$B$9,G16, ".txt &amp; ",H16)))),IF(C16="",IF(G16="","",(CONCATENATE("sqlcmd -S ",B16," -d ",D16," -U ",E16," -P ",F16," -i ",MENU!$E$6,G16,".sql -o ",MENU!$B$9,G16, ".txt &amp; ",H16))),IF(G16="","",(CONCATENATE("sqlcmd -S ",B16,"\",C16," -d ",D16," -U ",E16," -P ",F16," -i ",MENU!$E$6,G16,".sql -o ",MENU!$B$9,G16, ".txt &amp; ",H16)))))</f>
        <v/>
      </c>
    </row>
    <row r="17" spans="1:9" ht="43.5" customHeight="1" thickBot="1" x14ac:dyDescent="0.25">
      <c r="A17" s="4"/>
      <c r="B17" s="4" t="str">
        <f>IF(MENU!$B$6="","INGRESE SERVIDOR",MENU!$B$6)</f>
        <v>UEIHNE01</v>
      </c>
      <c r="C17" s="13" t="str">
        <f>IF(MENU!$D$6="","",MENU!$D$6)</f>
        <v>SQLEXPRESS</v>
      </c>
      <c r="D17" s="5" t="str">
        <f>IF(MENU!$C$6="","INGRESE BASE",MENU!$C$6)</f>
        <v>BDHIS_MINSA</v>
      </c>
      <c r="E17" s="13" t="str">
        <f>IF(MENU!$C$9="","",MENU!$C$9)</f>
        <v/>
      </c>
      <c r="F17" s="13" t="str">
        <f>IF(MENU!$D$9="","",MENU!$D$9)</f>
        <v/>
      </c>
      <c r="G17" s="8"/>
      <c r="H17" s="5" t="str">
        <f t="shared" si="0"/>
        <v>@echo Script  ejecutado en la Base de datos UEIHNE01/SQLEXPRESS/BDHIS_MINSA</v>
      </c>
      <c r="I17" s="4" t="str">
        <f>IF(OR(E17="",F17=""),IF(C17="",IF(G17="","",(CONCATENATE("sqlcmd -E -S ",B17," -d ",D17," -i ",MENU!$E$6,G17,".sql -o ",MENU!$B$9,G17, ".txt &amp; ",H17))),IF(G17="","",(CONCATENATE("sqlcmd -E -S ",B17,"\",C17," -d ",D17," -i ",MENU!$E$6,G17,".sql -o ",MENU!$B$9,G17, ".txt &amp; ",H17)))),IF(C17="",IF(G17="","",(CONCATENATE("sqlcmd -S ",B17," -d ",D17," -U ",E17," -P ",F17," -i ",MENU!$E$6,G17,".sql -o ",MENU!$B$9,G17, ".txt &amp; ",H17))),IF(G17="","",(CONCATENATE("sqlcmd -S ",B17,"\",C17," -d ",D17," -U ",E17," -P ",F17," -i ",MENU!$E$6,G17,".sql -o ",MENU!$B$9,G17, ".txt &amp; ",H17)))))</f>
        <v/>
      </c>
    </row>
    <row r="18" spans="1:9" ht="43.5" customHeight="1" thickBot="1" x14ac:dyDescent="0.25">
      <c r="A18" s="4"/>
      <c r="B18" s="4" t="str">
        <f>IF(MENU!$B$6="","INGRESE SERVIDOR",MENU!$B$6)</f>
        <v>UEIHNE01</v>
      </c>
      <c r="C18" s="13" t="str">
        <f>IF(MENU!$D$6="","",MENU!$D$6)</f>
        <v>SQLEXPRESS</v>
      </c>
      <c r="D18" s="5" t="str">
        <f>IF(MENU!$C$6="","INGRESE BASE",MENU!$C$6)</f>
        <v>BDHIS_MINSA</v>
      </c>
      <c r="E18" s="13" t="str">
        <f>IF(MENU!$C$9="","",MENU!$C$9)</f>
        <v/>
      </c>
      <c r="F18" s="13" t="str">
        <f>IF(MENU!$D$9="","",MENU!$D$9)</f>
        <v/>
      </c>
      <c r="G18" s="8"/>
      <c r="H18" s="5" t="str">
        <f t="shared" si="0"/>
        <v>@echo Script  ejecutado en la Base de datos UEIHNE01/SQLEXPRESS/BDHIS_MINSA</v>
      </c>
      <c r="I18" s="4" t="str">
        <f>IF(OR(E18="",F18=""),IF(C18="",IF(G18="","",(CONCATENATE("sqlcmd -E -S ",B18," -d ",D18," -i ",MENU!$E$6,G18,".sql -o ",MENU!$B$9,G18, ".txt &amp; ",H18))),IF(G18="","",(CONCATENATE("sqlcmd -E -S ",B18,"\",C18," -d ",D18," -i ",MENU!$E$6,G18,".sql -o ",MENU!$B$9,G18, ".txt &amp; ",H18)))),IF(C18="",IF(G18="","",(CONCATENATE("sqlcmd -S ",B18," -d ",D18," -U ",E18," -P ",F18," -i ",MENU!$E$6,G18,".sql -o ",MENU!$B$9,G18, ".txt &amp; ",H18))),IF(G18="","",(CONCATENATE("sqlcmd -S ",B18,"\",C18," -d ",D18," -U ",E18," -P ",F18," -i ",MENU!$E$6,G18,".sql -o ",MENU!$B$9,G18, ".txt &amp; ",H18)))))</f>
        <v/>
      </c>
    </row>
    <row r="19" spans="1:9" ht="43.5" customHeight="1" thickBot="1" x14ac:dyDescent="0.25">
      <c r="A19" s="4"/>
      <c r="B19" s="4" t="str">
        <f>IF(MENU!$B$6="","INGRESE SERVIDOR",MENU!$B$6)</f>
        <v>UEIHNE01</v>
      </c>
      <c r="C19" s="13" t="str">
        <f>IF(MENU!$D$6="","",MENU!$D$6)</f>
        <v>SQLEXPRESS</v>
      </c>
      <c r="D19" s="5" t="str">
        <f>IF(MENU!$C$6="","INGRESE BASE",MENU!$C$6)</f>
        <v>BDHIS_MINSA</v>
      </c>
      <c r="E19" s="13" t="str">
        <f>IF(MENU!$C$9="","",MENU!$C$9)</f>
        <v/>
      </c>
      <c r="F19" s="13" t="str">
        <f>IF(MENU!$D$9="","",MENU!$D$9)</f>
        <v/>
      </c>
      <c r="G19" s="8"/>
      <c r="H19" s="5" t="str">
        <f t="shared" si="0"/>
        <v>@echo Script  ejecutado en la Base de datos UEIHNE01/SQLEXPRESS/BDHIS_MINSA</v>
      </c>
      <c r="I19" s="4" t="str">
        <f>IF(OR(E19="",F19=""),IF(C19="",IF(G19="","",(CONCATENATE("sqlcmd -E -S ",B19," -d ",D19," -i ",MENU!$E$6,G19,".sql -o ",MENU!$B$9,G19, ".txt &amp; ",H19))),IF(G19="","",(CONCATENATE("sqlcmd -E -S ",B19,"\",C19," -d ",D19," -i ",MENU!$E$6,G19,".sql -o ",MENU!$B$9,G19, ".txt &amp; ",H19)))),IF(C19="",IF(G19="","",(CONCATENATE("sqlcmd -S ",B19," -d ",D19," -U ",E19," -P ",F19," -i ",MENU!$E$6,G19,".sql -o ",MENU!$B$9,G19, ".txt &amp; ",H19))),IF(G19="","",(CONCATENATE("sqlcmd -S ",B19,"\",C19," -d ",D19," -U ",E19," -P ",F19," -i ",MENU!$E$6,G19,".sql -o ",MENU!$B$9,G19, ".txt &amp; ",H19)))))</f>
        <v/>
      </c>
    </row>
    <row r="20" spans="1:9" ht="43.5" customHeight="1" thickBot="1" x14ac:dyDescent="0.25">
      <c r="A20" s="4"/>
      <c r="B20" s="4" t="str">
        <f>IF(MENU!$B$6="","INGRESE SERVIDOR",MENU!$B$6)</f>
        <v>UEIHNE01</v>
      </c>
      <c r="C20" s="13" t="str">
        <f>IF(MENU!$D$6="","",MENU!$D$6)</f>
        <v>SQLEXPRESS</v>
      </c>
      <c r="D20" s="5" t="str">
        <f>IF(MENU!$C$6="","INGRESE BASE",MENU!$C$6)</f>
        <v>BDHIS_MINSA</v>
      </c>
      <c r="E20" s="13" t="str">
        <f>IF(MENU!$C$9="","",MENU!$C$9)</f>
        <v/>
      </c>
      <c r="F20" s="13" t="str">
        <f>IF(MENU!$D$9="","",MENU!$D$9)</f>
        <v/>
      </c>
      <c r="G20" s="8"/>
      <c r="H20" s="5" t="str">
        <f t="shared" si="0"/>
        <v>@echo Script  ejecutado en la Base de datos UEIHNE01/SQLEXPRESS/BDHIS_MINSA</v>
      </c>
      <c r="I20" s="4" t="str">
        <f>IF(OR(E20="",F20=""),IF(C20="",IF(G20="","",(CONCATENATE("sqlcmd -E -S ",B20," -d ",D20," -i ",MENU!$E$6,G20,".sql -o ",MENU!$B$9,G20, ".txt &amp; ",H20))),IF(G20="","",(CONCATENATE("sqlcmd -E -S ",B20,"\",C20," -d ",D20," -i ",MENU!$E$6,G20,".sql -o ",MENU!$B$9,G20, ".txt &amp; ",H20)))),IF(C20="",IF(G20="","",(CONCATENATE("sqlcmd -S ",B20," -d ",D20," -U ",E20," -P ",F20," -i ",MENU!$E$6,G20,".sql -o ",MENU!$B$9,G20, ".txt &amp; ",H20))),IF(G20="","",(CONCATENATE("sqlcmd -S ",B20,"\",C20," -d ",D20," -U ",E20," -P ",F20," -i ",MENU!$E$6,G20,".sql -o ",MENU!$B$9,G20, ".txt &amp; ",H20)))))</f>
        <v/>
      </c>
    </row>
    <row r="21" spans="1:9" ht="43.5" customHeight="1" thickBot="1" x14ac:dyDescent="0.25">
      <c r="A21" s="4"/>
      <c r="B21" s="4" t="str">
        <f>IF(MENU!$B$6="","INGRESE SERVIDOR",MENU!$B$6)</f>
        <v>UEIHNE01</v>
      </c>
      <c r="C21" s="13" t="str">
        <f>IF(MENU!$D$6="","",MENU!$D$6)</f>
        <v>SQLEXPRESS</v>
      </c>
      <c r="D21" s="5" t="str">
        <f>IF(MENU!$C$6="","INGRESE BASE",MENU!$C$6)</f>
        <v>BDHIS_MINSA</v>
      </c>
      <c r="E21" s="13" t="str">
        <f>IF(MENU!$C$9="","",MENU!$C$9)</f>
        <v/>
      </c>
      <c r="F21" s="13" t="str">
        <f>IF(MENU!$D$9="","",MENU!$D$9)</f>
        <v/>
      </c>
      <c r="G21" s="8"/>
      <c r="H21" s="5" t="str">
        <f t="shared" si="0"/>
        <v>@echo Script  ejecutado en la Base de datos UEIHNE01/SQLEXPRESS/BDHIS_MINSA</v>
      </c>
      <c r="I21" s="4" t="str">
        <f>IF(OR(E21="",F21=""),IF(C21="",IF(G21="","",(CONCATENATE("sqlcmd -E -S ",B21," -d ",D21," -i ",MENU!$E$6,G21,".sql -o ",MENU!$B$9,G21, ".txt &amp; ",H21))),IF(G21="","",(CONCATENATE("sqlcmd -E -S ",B21,"\",C21," -d ",D21," -i ",MENU!$E$6,G21,".sql -o ",MENU!$B$9,G21, ".txt &amp; ",H21)))),IF(C21="",IF(G21="","",(CONCATENATE("sqlcmd -S ",B21," -d ",D21," -U ",E21," -P ",F21," -i ",MENU!$E$6,G21,".sql -o ",MENU!$B$9,G21, ".txt &amp; ",H21))),IF(G21="","",(CONCATENATE("sqlcmd -S ",B21,"\",C21," -d ",D21," -U ",E21," -P ",F21," -i ",MENU!$E$6,G21,".sql -o ",MENU!$B$9,G21, ".txt &amp; ",H21)))))</f>
        <v/>
      </c>
    </row>
    <row r="22" spans="1:9" ht="43.5" customHeight="1" thickBot="1" x14ac:dyDescent="0.25">
      <c r="A22" s="4"/>
      <c r="B22" s="4" t="str">
        <f>IF(MENU!$B$6="","INGRESE SERVIDOR",MENU!$B$6)</f>
        <v>UEIHNE01</v>
      </c>
      <c r="C22" s="13" t="str">
        <f>IF(MENU!$D$6="","",MENU!$D$6)</f>
        <v>SQLEXPRESS</v>
      </c>
      <c r="D22" s="5" t="str">
        <f>IF(MENU!$C$6="","INGRESE BASE",MENU!$C$6)</f>
        <v>BDHIS_MINSA</v>
      </c>
      <c r="E22" s="13" t="str">
        <f>IF(MENU!$C$9="","",MENU!$C$9)</f>
        <v/>
      </c>
      <c r="F22" s="13" t="str">
        <f>IF(MENU!$D$9="","",MENU!$D$9)</f>
        <v/>
      </c>
      <c r="G22" s="8"/>
      <c r="H22" s="5" t="str">
        <f t="shared" si="0"/>
        <v>@echo Script  ejecutado en la Base de datos UEIHNE01/SQLEXPRESS/BDHIS_MINSA</v>
      </c>
      <c r="I22" s="4" t="str">
        <f>IF(OR(E22="",F22=""),IF(C22="",IF(G22="","",(CONCATENATE("sqlcmd -E -S ",B22," -d ",D22," -i ",MENU!$E$6,G22,".sql -o ",MENU!$B$9,G22, ".txt &amp; ",H22))),IF(G22="","",(CONCATENATE("sqlcmd -E -S ",B22,"\",C22," -d ",D22," -i ",MENU!$E$6,G22,".sql -o ",MENU!$B$9,G22, ".txt &amp; ",H22)))),IF(C22="",IF(G22="","",(CONCATENATE("sqlcmd -S ",B22," -d ",D22," -U ",E22," -P ",F22," -i ",MENU!$E$6,G22,".sql -o ",MENU!$B$9,G22, ".txt &amp; ",H22))),IF(G22="","",(CONCATENATE("sqlcmd -S ",B22,"\",C22," -d ",D22," -U ",E22," -P ",F22," -i ",MENU!$E$6,G22,".sql -o ",MENU!$B$9,G22, ".txt &amp; ",H22)))))</f>
        <v/>
      </c>
    </row>
    <row r="23" spans="1:9" ht="43.5" customHeight="1" thickBot="1" x14ac:dyDescent="0.25">
      <c r="A23" s="4"/>
      <c r="B23" s="4" t="str">
        <f>IF(MENU!$B$6="","INGRESE SERVIDOR",MENU!$B$6)</f>
        <v>UEIHNE01</v>
      </c>
      <c r="C23" s="13" t="str">
        <f>IF(MENU!$D$6="","",MENU!$D$6)</f>
        <v>SQLEXPRESS</v>
      </c>
      <c r="D23" s="5" t="str">
        <f>IF(MENU!$C$6="","INGRESE BASE",MENU!$C$6)</f>
        <v>BDHIS_MINSA</v>
      </c>
      <c r="E23" s="13" t="str">
        <f>IF(MENU!$C$9="","",MENU!$C$9)</f>
        <v/>
      </c>
      <c r="F23" s="13" t="str">
        <f>IF(MENU!$D$9="","",MENU!$D$9)</f>
        <v/>
      </c>
      <c r="G23" s="8"/>
      <c r="H23" s="5" t="str">
        <f t="shared" si="0"/>
        <v>@echo Script  ejecutado en la Base de datos UEIHNE01/SQLEXPRESS/BDHIS_MINSA</v>
      </c>
      <c r="I23" s="4" t="str">
        <f>IF(OR(E23="",F23=""),IF(C23="",IF(G23="","",(CONCATENATE("sqlcmd -E -S ",B23," -d ",D23," -i ",MENU!$E$6,G23,".sql -o ",MENU!$B$9,G23, ".txt &amp; ",H23))),IF(G23="","",(CONCATENATE("sqlcmd -E -S ",B23,"\",C23," -d ",D23," -i ",MENU!$E$6,G23,".sql -o ",MENU!$B$9,G23, ".txt &amp; ",H23)))),IF(C23="",IF(G23="","",(CONCATENATE("sqlcmd -S ",B23," -d ",D23," -U ",E23," -P ",F23," -i ",MENU!$E$6,G23,".sql -o ",MENU!$B$9,G23, ".txt &amp; ",H23))),IF(G23="","",(CONCATENATE("sqlcmd -S ",B23,"\",C23," -d ",D23," -U ",E23," -P ",F23," -i ",MENU!$E$6,G23,".sql -o ",MENU!$B$9,G23, ".txt &amp; ",H23)))))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I101"/>
  <sheetViews>
    <sheetView topLeftCell="A7" zoomScale="90" zoomScaleNormal="90" workbookViewId="0">
      <selection activeCell="I2" sqref="I2:I19"/>
    </sheetView>
  </sheetViews>
  <sheetFormatPr baseColWidth="10" defaultColWidth="9.140625" defaultRowHeight="12" x14ac:dyDescent="0.2"/>
  <cols>
    <col min="1" max="2" width="14.7109375" style="6" bestFit="1" customWidth="1"/>
    <col min="3" max="3" width="13.140625" style="3" customWidth="1"/>
    <col min="4" max="4" width="11.5703125" style="6" bestFit="1" customWidth="1"/>
    <col min="5" max="6" width="11.5703125" style="3" customWidth="1"/>
    <col min="7" max="7" width="50.7109375" style="6" customWidth="1"/>
    <col min="8" max="8" width="50.140625" style="6" bestFit="1" customWidth="1"/>
    <col min="9" max="9" width="101" style="6" customWidth="1"/>
    <col min="10" max="16384" width="9.140625" style="6"/>
  </cols>
  <sheetData>
    <row r="1" spans="1:9" s="3" customFormat="1" ht="12.75" thickBot="1" x14ac:dyDescent="0.25">
      <c r="A1" s="1" t="s">
        <v>65</v>
      </c>
      <c r="B1" s="1" t="s">
        <v>0</v>
      </c>
      <c r="C1" s="2" t="s">
        <v>1</v>
      </c>
      <c r="D1" s="2" t="s">
        <v>2</v>
      </c>
      <c r="E1" s="2" t="s">
        <v>11</v>
      </c>
      <c r="F1" s="2" t="s">
        <v>12</v>
      </c>
      <c r="G1" s="2" t="s">
        <v>4</v>
      </c>
      <c r="H1" s="2"/>
      <c r="I1" s="1" t="s">
        <v>5</v>
      </c>
    </row>
    <row r="2" spans="1:9" s="7" customFormat="1" ht="43.5" customHeight="1" thickBot="1" x14ac:dyDescent="0.3">
      <c r="A2" s="4" t="s">
        <v>67</v>
      </c>
      <c r="B2" s="4" t="str">
        <f>IF(MENU!$B$6="","INGRESE SERVIDOR",MENU!$B$6)</f>
        <v>UEIHNE01</v>
      </c>
      <c r="C2" s="13" t="str">
        <f>IF(MENU!$D$6="","",MENU!$D$6)</f>
        <v>SQLEXPRESS</v>
      </c>
      <c r="D2" s="5" t="str">
        <f>IF(MENU!$C$6="","INGRESE BASE",MENU!$C$6)</f>
        <v>BDHIS_MINSA</v>
      </c>
      <c r="E2" s="13" t="str">
        <f>IF(MENU!$C$9="","",MENU!$C$9)</f>
        <v/>
      </c>
      <c r="F2" s="13" t="str">
        <f>IF(MENU!$D$9="","",MENU!$D$9)</f>
        <v/>
      </c>
      <c r="G2" s="8" t="s">
        <v>14</v>
      </c>
      <c r="H2" s="5" t="str">
        <f>IF(C2="",CONCATENATE("@echo Script ",G2, ".sql ejecutado en la Base de datos ", B2,"/",D2),CONCATENATE("@echo Script ",E2, " ejecutado en la Base de datos ", B2,"/",C2,"/",D2))</f>
        <v>@echo Script  ejecutado en la Base de datos UEIHNE01/SQLEXPRESS/BDHIS_MINSA</v>
      </c>
      <c r="I2" s="4" t="str">
        <f>IF(OR(E2="",F2=""),IF(C2="",IF(G2="","",(CONCATENATE("sqlcmd -E -S ",B2," -d ",D2," -i ",MENU!$E$6,A2,"\",G2,".sql -o ",MENU!$B$9,G2, ".txt &amp; ",H2))),IF(G2="","",(CONCATENATE("sqlcmd -E -S ",B2,"\",C2," -d ",D2," -i ",MENU!$E$6,A2,"\",G2,".sql -o ",MENU!$B$9,G2, ".txt &amp; ",H2)))),IF(C2="",IF(G2="","",(CONCATENATE("sqlcmd -S ",B2," -d ",D2," -U ",E2," -P ",F2," -i ",MENU!$E$6,A2,"\",G2,".sql -o ",MENU!$B$9,G2, ".txt &amp; ",H2))),IF(G2="","",(CONCATENATE("sqlcmd -S ",B2,"\",C2," -d ",D2," -U ",E2," -P ",F2," -i ",MENU!$E$6,A2,"\",G2,".sql -o ",MENU!$B$9,G2, ".txt &amp; ",H2)))))</f>
        <v>sqlcmd -E -S UEIHNE01\SQLEXPRESS -d BDHIS_MINSA -i C:\HISMINSA\Scripts\MAESTROS\dbo.MAESTRO_HIS_CIE_CPMS.Table.sql -o C:\HISMINSA\Resultados\dbo.MAESTRO_HIS_CIE_CPMS.Table.txt &amp; @echo Script  ejecutado en la Base de datos UEIHNE01/SQLEXPRESS/BDHIS_MINSA</v>
      </c>
    </row>
    <row r="3" spans="1:9" s="7" customFormat="1" ht="43.5" customHeight="1" thickBot="1" x14ac:dyDescent="0.3">
      <c r="A3" s="4" t="s">
        <v>67</v>
      </c>
      <c r="B3" s="4" t="str">
        <f>IF(MENU!$B$6="","INGRESE SERVIDOR",MENU!$B$6)</f>
        <v>UEIHNE01</v>
      </c>
      <c r="C3" s="13" t="str">
        <f>IF(MENU!$D$6="","",MENU!$D$6)</f>
        <v>SQLEXPRESS</v>
      </c>
      <c r="D3" s="5" t="str">
        <f>IF(MENU!$C$6="","INGRESE BASE",MENU!$C$6)</f>
        <v>BDHIS_MINSA</v>
      </c>
      <c r="E3" s="13" t="str">
        <f>IF(MENU!$C$9="","",MENU!$C$9)</f>
        <v/>
      </c>
      <c r="F3" s="13" t="str">
        <f>IF(MENU!$D$9="","",MENU!$D$9)</f>
        <v/>
      </c>
      <c r="G3" s="8" t="s">
        <v>15</v>
      </c>
      <c r="H3" s="5" t="str">
        <f t="shared" ref="H3:H18" si="0">IF(C3="",CONCATENATE("@echo Script ",G3, ".sql ejecutado en la Base de datos ", B3,"/",D3),CONCATENATE("@echo Script ",E3, " ejecutado en la Base de datos ", B3,"/",C3,"/",D3))</f>
        <v>@echo Script  ejecutado en la Base de datos UEIHNE01/SQLEXPRESS/BDHIS_MINSA</v>
      </c>
      <c r="I3" s="4" t="str">
        <f>IF(OR(E3="",F3=""),IF(C3="",IF(G3="","",(CONCATENATE("sqlcmd -E -S ",B3," -d ",D3," -i ",MENU!$E$6,A3,"\",G3,".sql -o ",MENU!$B$9,G3, ".txt &amp; ",H3))),IF(G3="","",(CONCATENATE("sqlcmd -E -S ",B3,"\",C3," -d ",D3," -i ",MENU!$E$6,A3,"\",G3,".sql -o ",MENU!$B$9,G3, ".txt &amp; ",H3)))),IF(C3="",IF(G3="","",(CONCATENATE("sqlcmd -S ",B3," -d ",D3," -U ",E3," -P ",F3," -i ",MENU!$E$6,A3,"\",G3,".sql -o ",MENU!$B$9,G3, ".txt &amp; ",H3))),IF(G3="","",(CONCATENATE("sqlcmd -S ",B3,"\",C3," -d ",D3," -U ",E3," -P ",F3," -i ",MENU!$E$6,A3,"\",G3,".sql -o ",MENU!$B$9,G3, ".txt &amp; ",H3)))))</f>
        <v>sqlcmd -E -S UEIHNE01\SQLEXPRESS -d BDHIS_MINSA -i C:\HISMINSA\Scripts\MAESTROS\dbo.MAESTRO_HIS_COLEGIO.Table.sql -o C:\HISMINSA\Resultados\dbo.MAESTRO_HIS_COLEGIO.Table.txt &amp; @echo Script  ejecutado en la Base de datos UEIHNE01/SQLEXPRESS/BDHIS_MINSA</v>
      </c>
    </row>
    <row r="4" spans="1:9" ht="43.5" customHeight="1" thickBot="1" x14ac:dyDescent="0.25">
      <c r="A4" s="4" t="s">
        <v>67</v>
      </c>
      <c r="B4" s="4" t="str">
        <f>IF(MENU!$B$6="","INGRESE SERVIDOR",MENU!$B$6)</f>
        <v>UEIHNE01</v>
      </c>
      <c r="C4" s="13" t="str">
        <f>IF(MENU!$D$6="","",MENU!$D$6)</f>
        <v>SQLEXPRESS</v>
      </c>
      <c r="D4" s="5" t="str">
        <f>IF(MENU!$C$6="","INGRESE BASE",MENU!$C$6)</f>
        <v>BDHIS_MINSA</v>
      </c>
      <c r="E4" s="13" t="str">
        <f>IF(MENU!$C$9="","",MENU!$C$9)</f>
        <v/>
      </c>
      <c r="F4" s="13" t="str">
        <f>IF(MENU!$D$9="","",MENU!$D$9)</f>
        <v/>
      </c>
      <c r="G4" s="8" t="s">
        <v>16</v>
      </c>
      <c r="H4" s="5" t="str">
        <f t="shared" si="0"/>
        <v>@echo Script  ejecutado en la Base de datos UEIHNE01/SQLEXPRESS/BDHIS_MINSA</v>
      </c>
      <c r="I4" s="4" t="str">
        <f>IF(OR(E4="",F4=""),IF(C4="",IF(G4="","",(CONCATENATE("sqlcmd -E -S ",B4," -d ",D4," -i ",MENU!$E$6,A4,"\",G4,".sql -o ",MENU!$B$9,G4, ".txt &amp; ",H4))),IF(G4="","",(CONCATENATE("sqlcmd -E -S ",B4,"\",C4," -d ",D4," -i ",MENU!$E$6,A4,"\",G4,".sql -o ",MENU!$B$9,G4, ".txt &amp; ",H4)))),IF(C4="",IF(G4="","",(CONCATENATE("sqlcmd -S ",B4," -d ",D4," -U ",E4," -P ",F4," -i ",MENU!$E$6,A4,"\",G4,".sql -o ",MENU!$B$9,G4, ".txt &amp; ",H4))),IF(G4="","",(CONCATENATE("sqlcmd -S ",B4,"\",C4," -d ",D4," -U ",E4," -P ",F4," -i ",MENU!$E$6,A4,"\",G4,".sql -o ",MENU!$B$9,G4, ".txt &amp; ",H4)))))</f>
        <v>sqlcmd -E -S UEIHNE01\SQLEXPRESS -d BDHIS_MINSA -i C:\HISMINSA\Scripts\MAESTROS\dbo.MAESTRO_HIS_CONDICION_CONTRATO.Table.sql -o C:\HISMINSA\Resultados\dbo.MAESTRO_HIS_CONDICION_CONTRATO.Table.txt &amp; @echo Script  ejecutado en la Base de datos UEIHNE01/SQLEXPRESS/BDHIS_MINSA</v>
      </c>
    </row>
    <row r="5" spans="1:9" ht="43.5" customHeight="1" thickBot="1" x14ac:dyDescent="0.25">
      <c r="A5" s="4" t="s">
        <v>67</v>
      </c>
      <c r="B5" s="4" t="str">
        <f>IF(MENU!$B$6="","INGRESE SERVIDOR",MENU!$B$6)</f>
        <v>UEIHNE01</v>
      </c>
      <c r="C5" s="13" t="str">
        <f>IF(MENU!$D$6="","",MENU!$D$6)</f>
        <v>SQLEXPRESS</v>
      </c>
      <c r="D5" s="5" t="str">
        <f>IF(MENU!$C$6="","INGRESE BASE",MENU!$C$6)</f>
        <v>BDHIS_MINSA</v>
      </c>
      <c r="E5" s="13" t="str">
        <f>IF(MENU!$C$9="","",MENU!$C$9)</f>
        <v/>
      </c>
      <c r="F5" s="13" t="str">
        <f>IF(MENU!$D$9="","",MENU!$D$9)</f>
        <v/>
      </c>
      <c r="G5" s="8" t="s">
        <v>17</v>
      </c>
      <c r="H5" s="5" t="str">
        <f t="shared" si="0"/>
        <v>@echo Script  ejecutado en la Base de datos UEIHNE01/SQLEXPRESS/BDHIS_MINSA</v>
      </c>
      <c r="I5" s="4" t="str">
        <f>IF(OR(E5="",F5=""),IF(C5="",IF(G5="","",(CONCATENATE("sqlcmd -E -S ",B5," -d ",D5," -i ",MENU!$E$6,A5,"\",G5,".sql -o ",MENU!$B$9,G5, ".txt &amp; ",H5))),IF(G5="","",(CONCATENATE("sqlcmd -E -S ",B5,"\",C5," -d ",D5," -i ",MENU!$E$6,A5,"\",G5,".sql -o ",MENU!$B$9,G5, ".txt &amp; ",H5)))),IF(C5="",IF(G5="","",(CONCATENATE("sqlcmd -S ",B5," -d ",D5," -U ",E5," -P ",F5," -i ",MENU!$E$6,A5,"\",G5,".sql -o ",MENU!$B$9,G5, ".txt &amp; ",H5))),IF(G5="","",(CONCATENATE("sqlcmd -S ",B5,"\",C5," -d ",D5," -U ",E5," -P ",F5," -i ",MENU!$E$6,A5,"\",G5,".sql -o ",MENU!$B$9,G5, ".txt &amp; ",H5)))))</f>
        <v>sqlcmd -E -S UEIHNE01\SQLEXPRESS -d BDHIS_MINSA -i C:\HISMINSA\Scripts\MAESTROS\dbo.MAESTRO_HIS_ESTABLECIMIENTO.Table.sql -o C:\HISMINSA\Resultados\dbo.MAESTRO_HIS_ESTABLECIMIENTO.Table.txt &amp; @echo Script  ejecutado en la Base de datos UEIHNE01/SQLEXPRESS/BDHIS_MINSA</v>
      </c>
    </row>
    <row r="6" spans="1:9" ht="43.5" customHeight="1" thickBot="1" x14ac:dyDescent="0.25">
      <c r="A6" s="4" t="s">
        <v>67</v>
      </c>
      <c r="B6" s="4" t="str">
        <f>IF(MENU!$B$6="","INGRESE SERVIDOR",MENU!$B$6)</f>
        <v>UEIHNE01</v>
      </c>
      <c r="C6" s="13" t="str">
        <f>IF(MENU!$D$6="","",MENU!$D$6)</f>
        <v>SQLEXPRESS</v>
      </c>
      <c r="D6" s="5" t="str">
        <f>IF(MENU!$C$6="","INGRESE BASE",MENU!$C$6)</f>
        <v>BDHIS_MINSA</v>
      </c>
      <c r="E6" s="13" t="str">
        <f>IF(MENU!$C$9="","",MENU!$C$9)</f>
        <v/>
      </c>
      <c r="F6" s="13" t="str">
        <f>IF(MENU!$D$9="","",MENU!$D$9)</f>
        <v/>
      </c>
      <c r="G6" s="8" t="s">
        <v>18</v>
      </c>
      <c r="H6" s="5" t="str">
        <f t="shared" si="0"/>
        <v>@echo Script  ejecutado en la Base de datos UEIHNE01/SQLEXPRESS/BDHIS_MINSA</v>
      </c>
      <c r="I6" s="4" t="str">
        <f>IF(OR(E6="",F6=""),IF(C6="",IF(G6="","",(CONCATENATE("sqlcmd -E -S ",B6," -d ",D6," -i ",MENU!$E$6,A6,"\",G6,".sql -o ",MENU!$B$9,G6, ".txt &amp; ",H6))),IF(G6="","",(CONCATENATE("sqlcmd -E -S ",B6,"\",C6," -d ",D6," -i ",MENU!$E$6,A6,"\",G6,".sql -o ",MENU!$B$9,G6, ".txt &amp; ",H6)))),IF(C6="",IF(G6="","",(CONCATENATE("sqlcmd -S ",B6," -d ",D6," -U ",E6," -P ",F6," -i ",MENU!$E$6,A6,"\",G6,".sql -o ",MENU!$B$9,G6, ".txt &amp; ",H6))),IF(G6="","",(CONCATENATE("sqlcmd -S ",B6,"\",C6," -d ",D6," -U ",E6," -P ",F6," -i ",MENU!$E$6,A6,"\",G6,".sql -o ",MENU!$B$9,G6, ".txt &amp; ",H6)))))</f>
        <v>sqlcmd -E -S UEIHNE01\SQLEXPRESS -d BDHIS_MINSA -i C:\HISMINSA\Scripts\MAESTROS\dbo.MAESTRO_HIS_ETNIA.Table.sql -o C:\HISMINSA\Resultados\dbo.MAESTRO_HIS_ETNIA.Table.txt &amp; @echo Script  ejecutado en la Base de datos UEIHNE01/SQLEXPRESS/BDHIS_MINSA</v>
      </c>
    </row>
    <row r="7" spans="1:9" ht="43.5" customHeight="1" thickBot="1" x14ac:dyDescent="0.25">
      <c r="A7" s="4" t="s">
        <v>67</v>
      </c>
      <c r="B7" s="4" t="str">
        <f>IF(MENU!$B$6="","INGRESE SERVIDOR",MENU!$B$6)</f>
        <v>UEIHNE01</v>
      </c>
      <c r="C7" s="13" t="str">
        <f>IF(MENU!$D$6="","",MENU!$D$6)</f>
        <v>SQLEXPRESS</v>
      </c>
      <c r="D7" s="5" t="str">
        <f>IF(MENU!$C$6="","INGRESE BASE",MENU!$C$6)</f>
        <v>BDHIS_MINSA</v>
      </c>
      <c r="E7" s="13" t="str">
        <f>IF(MENU!$C$9="","",MENU!$C$9)</f>
        <v/>
      </c>
      <c r="F7" s="13" t="str">
        <f>IF(MENU!$D$9="","",MENU!$D$9)</f>
        <v/>
      </c>
      <c r="G7" s="8" t="s">
        <v>19</v>
      </c>
      <c r="H7" s="5" t="str">
        <f t="shared" si="0"/>
        <v>@echo Script  ejecutado en la Base de datos UEIHNE01/SQLEXPRESS/BDHIS_MINSA</v>
      </c>
      <c r="I7" s="4" t="str">
        <f>IF(OR(E7="",F7=""),IF(C7="",IF(G7="","",(CONCATENATE("sqlcmd -E -S ",B7," -d ",D7," -i ",MENU!$E$6,A7,"\",G7,".sql -o ",MENU!$B$9,G7, ".txt &amp; ",H7))),IF(G7="","",(CONCATENATE("sqlcmd -E -S ",B7,"\",C7," -d ",D7," -i ",MENU!$E$6,A7,"\",G7,".sql -o ",MENU!$B$9,G7, ".txt &amp; ",H7)))),IF(C7="",IF(G7="","",(CONCATENATE("sqlcmd -S ",B7," -d ",D7," -U ",E7," -P ",F7," -i ",MENU!$E$6,A7,"\",G7,".sql -o ",MENU!$B$9,G7, ".txt &amp; ",H7))),IF(G7="","",(CONCATENATE("sqlcmd -S ",B7,"\",C7," -d ",D7," -U ",E7," -P ",F7," -i ",MENU!$E$6,A7,"\",G7,".sql -o ",MENU!$B$9,G7, ".txt &amp; ",H7)))))</f>
        <v>sqlcmd -E -S UEIHNE01\SQLEXPRESS -d BDHIS_MINSA -i C:\HISMINSA\Scripts\MAESTROS\dbo.MAESTRO_HIS_FINANCIADOR.Table.sql -o C:\HISMINSA\Resultados\dbo.MAESTRO_HIS_FINANCIADOR.Table.txt &amp; @echo Script  ejecutado en la Base de datos UEIHNE01/SQLEXPRESS/BDHIS_MINSA</v>
      </c>
    </row>
    <row r="8" spans="1:9" ht="43.5" customHeight="1" thickBot="1" x14ac:dyDescent="0.25">
      <c r="A8" s="4" t="s">
        <v>67</v>
      </c>
      <c r="B8" s="4" t="str">
        <f>IF(MENU!$B$6="","INGRESE SERVIDOR",MENU!$B$6)</f>
        <v>UEIHNE01</v>
      </c>
      <c r="C8" s="13" t="str">
        <f>IF(MENU!$D$6="","",MENU!$D$6)</f>
        <v>SQLEXPRESS</v>
      </c>
      <c r="D8" s="5" t="str">
        <f>IF(MENU!$C$6="","INGRESE BASE",MENU!$C$6)</f>
        <v>BDHIS_MINSA</v>
      </c>
      <c r="E8" s="13" t="str">
        <f>IF(MENU!$C$9="","",MENU!$C$9)</f>
        <v/>
      </c>
      <c r="F8" s="13" t="str">
        <f>IF(MENU!$D$9="","",MENU!$D$9)</f>
        <v/>
      </c>
      <c r="G8" s="8" t="s">
        <v>20</v>
      </c>
      <c r="H8" s="5" t="str">
        <f t="shared" si="0"/>
        <v>@echo Script  ejecutado en la Base de datos UEIHNE01/SQLEXPRESS/BDHIS_MINSA</v>
      </c>
      <c r="I8" s="4" t="str">
        <f>IF(OR(E8="",F8=""),IF(C8="",IF(G8="","",(CONCATENATE("sqlcmd -E -S ",B8," -d ",D8," -i ",MENU!$E$6,A8,"\",G8,".sql -o ",MENU!$B$9,G8, ".txt &amp; ",H8))),IF(G8="","",(CONCATENATE("sqlcmd -E -S ",B8,"\",C8," -d ",D8," -i ",MENU!$E$6,A8,"\",G8,".sql -o ",MENU!$B$9,G8, ".txt &amp; ",H8)))),IF(C8="",IF(G8="","",(CONCATENATE("sqlcmd -S ",B8," -d ",D8," -U ",E8," -P ",F8," -i ",MENU!$E$6,A8,"\",G8,".sql -o ",MENU!$B$9,G8, ".txt &amp; ",H8))),IF(G8="","",(CONCATENATE("sqlcmd -S ",B8,"\",C8," -d ",D8," -U ",E8," -P ",F8," -i ",MENU!$E$6,A8,"\",G8,".sql -o ",MENU!$B$9,G8, ".txt &amp; ",H8)))))</f>
        <v>sqlcmd -E -S UEIHNE01\SQLEXPRESS -d BDHIS_MINSA -i C:\HISMINSA\Scripts\MAESTROS\dbo.MAESTRO_HIS_OTRA_CONDICION.Table.sql -o C:\HISMINSA\Resultados\dbo.MAESTRO_HIS_OTRA_CONDICION.Table.txt &amp; @echo Script  ejecutado en la Base de datos UEIHNE01/SQLEXPRESS/BDHIS_MINSA</v>
      </c>
    </row>
    <row r="9" spans="1:9" ht="43.5" customHeight="1" thickBot="1" x14ac:dyDescent="0.25">
      <c r="A9" s="4" t="s">
        <v>67</v>
      </c>
      <c r="B9" s="4" t="str">
        <f>IF(MENU!$B$6="","INGRESE SERVIDOR",MENU!$B$6)</f>
        <v>UEIHNE01</v>
      </c>
      <c r="C9" s="13" t="str">
        <f>IF(MENU!$D$6="","",MENU!$D$6)</f>
        <v>SQLEXPRESS</v>
      </c>
      <c r="D9" s="5" t="str">
        <f>IF(MENU!$C$6="","INGRESE BASE",MENU!$C$6)</f>
        <v>BDHIS_MINSA</v>
      </c>
      <c r="E9" s="13" t="str">
        <f>IF(MENU!$C$9="","",MENU!$C$9)</f>
        <v/>
      </c>
      <c r="F9" s="13" t="str">
        <f>IF(MENU!$D$9="","",MENU!$D$9)</f>
        <v/>
      </c>
      <c r="G9" s="8" t="s">
        <v>21</v>
      </c>
      <c r="H9" s="5" t="str">
        <f t="shared" si="0"/>
        <v>@echo Script  ejecutado en la Base de datos UEIHNE01/SQLEXPRESS/BDHIS_MINSA</v>
      </c>
      <c r="I9" s="4" t="str">
        <f>IF(OR(E9="",F9=""),IF(C9="",IF(G9="","",(CONCATENATE("sqlcmd -E -S ",B9," -d ",D9," -i ",MENU!$E$6,A9,"\",G9,".sql -o ",MENU!$B$9,G9, ".txt &amp; ",H9))),IF(G9="","",(CONCATENATE("sqlcmd -E -S ",B9,"\",C9," -d ",D9," -i ",MENU!$E$6,A9,"\",G9,".sql -o ",MENU!$B$9,G9, ".txt &amp; ",H9)))),IF(C9="",IF(G9="","",(CONCATENATE("sqlcmd -S ",B9," -d ",D9," -U ",E9," -P ",F9," -i ",MENU!$E$6,A9,"\",G9,".sql -o ",MENU!$B$9,G9, ".txt &amp; ",H9))),IF(G9="","",(CONCATENATE("sqlcmd -S ",B9,"\",C9," -d ",D9," -U ",E9," -P ",F9," -i ",MENU!$E$6,A9,"\",G9,".sql -o ",MENU!$B$9,G9, ".txt &amp; ",H9)))))</f>
        <v>sqlcmd -E -S UEIHNE01\SQLEXPRESS -d BDHIS_MINSA -i C:\HISMINSA\Scripts\MAESTROS\dbo.MAESTRO_HIS_PAIS.Table.sql -o C:\HISMINSA\Resultados\dbo.MAESTRO_HIS_PAIS.Table.txt &amp; @echo Script  ejecutado en la Base de datos UEIHNE01/SQLEXPRESS/BDHIS_MINSA</v>
      </c>
    </row>
    <row r="10" spans="1:9" ht="43.5" customHeight="1" thickBot="1" x14ac:dyDescent="0.25">
      <c r="A10" s="4" t="s">
        <v>67</v>
      </c>
      <c r="B10" s="4" t="str">
        <f>IF(MENU!$B$6="","INGRESE SERVIDOR",MENU!$B$6)</f>
        <v>UEIHNE01</v>
      </c>
      <c r="C10" s="13" t="str">
        <f>IF(MENU!$D$6="","",MENU!$D$6)</f>
        <v>SQLEXPRESS</v>
      </c>
      <c r="D10" s="5" t="str">
        <f>IF(MENU!$C$6="","INGRESE BASE",MENU!$C$6)</f>
        <v>BDHIS_MINSA</v>
      </c>
      <c r="E10" s="13" t="str">
        <f>IF(MENU!$C$9="","",MENU!$C$9)</f>
        <v/>
      </c>
      <c r="F10" s="13" t="str">
        <f>IF(MENU!$D$9="","",MENU!$D$9)</f>
        <v/>
      </c>
      <c r="G10" s="8" t="s">
        <v>22</v>
      </c>
      <c r="H10" s="5" t="str">
        <f t="shared" si="0"/>
        <v>@echo Script  ejecutado en la Base de datos UEIHNE01/SQLEXPRESS/BDHIS_MINSA</v>
      </c>
      <c r="I10" s="4" t="str">
        <f>IF(OR(E10="",F10=""),IF(C10="",IF(G10="","",(CONCATENATE("sqlcmd -E -S ",B10," -d ",D10," -i ",MENU!$E$6,A10,"\",G10,".sql -o ",MENU!$B$9,G10, ".txt &amp; ",H10))),IF(G10="","",(CONCATENATE("sqlcmd -E -S ",B10,"\",C10," -d ",D10," -i ",MENU!$E$6,A10,"\",G10,".sql -o ",MENU!$B$9,G10, ".txt &amp; ",H10)))),IF(C10="",IF(G10="","",(CONCATENATE("sqlcmd -S ",B10," -d ",D10," -U ",E10," -P ",F10," -i ",MENU!$E$6,A10,"\",G10,".sql -o ",MENU!$B$9,G10, ".txt &amp; ",H10))),IF(G10="","",(CONCATENATE("sqlcmd -S ",B10,"\",C10," -d ",D10," -U ",E10," -P ",F10," -i ",MENU!$E$6,A10,"\",G10,".sql -o ",MENU!$B$9,G10, ".txt &amp; ",H10)))))</f>
        <v>sqlcmd -E -S UEIHNE01\SQLEXPRESS -d BDHIS_MINSA -i C:\HISMINSA\Scripts\MAESTROS\dbo.MAESTRO_HIS_PROFESION.Table.sql -o C:\HISMINSA\Resultados\dbo.MAESTRO_HIS_PROFESION.Table.txt &amp; @echo Script  ejecutado en la Base de datos UEIHNE01/SQLEXPRESS/BDHIS_MINSA</v>
      </c>
    </row>
    <row r="11" spans="1:9" ht="43.5" customHeight="1" thickBot="1" x14ac:dyDescent="0.25">
      <c r="A11" s="4" t="s">
        <v>67</v>
      </c>
      <c r="B11" s="4" t="str">
        <f>IF(MENU!$B$6="","INGRESE SERVIDOR",MENU!$B$6)</f>
        <v>UEIHNE01</v>
      </c>
      <c r="C11" s="13" t="str">
        <f>IF(MENU!$D$6="","",MENU!$D$6)</f>
        <v>SQLEXPRESS</v>
      </c>
      <c r="D11" s="5" t="str">
        <f>IF(MENU!$C$6="","INGRESE BASE",MENU!$C$6)</f>
        <v>BDHIS_MINSA</v>
      </c>
      <c r="E11" s="13" t="str">
        <f>IF(MENU!$C$9="","",MENU!$C$9)</f>
        <v/>
      </c>
      <c r="F11" s="13" t="str">
        <f>IF(MENU!$D$9="","",MENU!$D$9)</f>
        <v/>
      </c>
      <c r="G11" s="8" t="s">
        <v>23</v>
      </c>
      <c r="H11" s="5" t="str">
        <f t="shared" si="0"/>
        <v>@echo Script  ejecutado en la Base de datos UEIHNE01/SQLEXPRESS/BDHIS_MINSA</v>
      </c>
      <c r="I11" s="4" t="str">
        <f>IF(OR(E11="",F11=""),IF(C11="",IF(G11="","",(CONCATENATE("sqlcmd -E -S ",B11," -d ",D11," -i ",MENU!$E$6,A11,"\",G11,".sql -o ",MENU!$B$9,G11, ".txt &amp; ",H11))),IF(G11="","",(CONCATENATE("sqlcmd -E -S ",B11,"\",C11," -d ",D11," -i ",MENU!$E$6,A11,"\",G11,".sql -o ",MENU!$B$9,G11, ".txt &amp; ",H11)))),IF(C11="",IF(G11="","",(CONCATENATE("sqlcmd -S ",B11," -d ",D11," -U ",E11," -P ",F11," -i ",MENU!$E$6,A11,"\",G11,".sql -o ",MENU!$B$9,G11, ".txt &amp; ",H11))),IF(G11="","",(CONCATENATE("sqlcmd -S ",B11,"\",C11," -d ",D11," -U ",E11," -P ",F11," -i ",MENU!$E$6,A11,"\",G11,".sql -o ",MENU!$B$9,G11, ".txt &amp; ",H11)))))</f>
        <v>sqlcmd -E -S UEIHNE01\SQLEXPRESS -d BDHIS_MINSA -i C:\HISMINSA\Scripts\MAESTROS\dbo.MAESTRO_HIS_TIPO_DOC.Table.sql -o C:\HISMINSA\Resultados\dbo.MAESTRO_HIS_TIPO_DOC.Table.txt &amp; @echo Script  ejecutado en la Base de datos UEIHNE01/SQLEXPRESS/BDHIS_MINSA</v>
      </c>
    </row>
    <row r="12" spans="1:9" ht="43.5" customHeight="1" thickBot="1" x14ac:dyDescent="0.25">
      <c r="A12" s="4" t="s">
        <v>67</v>
      </c>
      <c r="B12" s="4" t="str">
        <f>IF(MENU!$B$6="","INGRESE SERVIDOR",MENU!$B$6)</f>
        <v>UEIHNE01</v>
      </c>
      <c r="C12" s="13" t="str">
        <f>IF(MENU!$D$6="","",MENU!$D$6)</f>
        <v>SQLEXPRESS</v>
      </c>
      <c r="D12" s="5" t="str">
        <f>IF(MENU!$C$6="","INGRESE BASE",MENU!$C$6)</f>
        <v>BDHIS_MINSA</v>
      </c>
      <c r="E12" s="13" t="str">
        <f>IF(MENU!$C$9="","",MENU!$C$9)</f>
        <v/>
      </c>
      <c r="F12" s="13" t="str">
        <f>IF(MENU!$D$9="","",MENU!$D$9)</f>
        <v/>
      </c>
      <c r="G12" s="8" t="s">
        <v>24</v>
      </c>
      <c r="H12" s="5" t="str">
        <f t="shared" si="0"/>
        <v>@echo Script  ejecutado en la Base de datos UEIHNE01/SQLEXPRESS/BDHIS_MINSA</v>
      </c>
      <c r="I12" s="4" t="str">
        <f>IF(OR(E12="",F12=""),IF(C12="",IF(G12="","",(CONCATENATE("sqlcmd -E -S ",B12," -d ",D12," -i ",MENU!$E$6,A12,"\",G12,".sql -o ",MENU!$B$9,G12, ".txt &amp; ",H12))),IF(G12="","",(CONCATENATE("sqlcmd -E -S ",B12,"\",C12," -d ",D12," -i ",MENU!$E$6,A12,"\",G12,".sql -o ",MENU!$B$9,G12, ".txt &amp; ",H12)))),IF(C12="",IF(G12="","",(CONCATENATE("sqlcmd -S ",B12," -d ",D12," -U ",E12," -P ",F12," -i ",MENU!$E$6,A12,"\",G12,".sql -o ",MENU!$B$9,G12, ".txt &amp; ",H12))),IF(G12="","",(CONCATENATE("sqlcmd -S ",B12,"\",C12," -d ",D12," -U ",E12," -P ",F12," -i ",MENU!$E$6,A12,"\",G12,".sql -o ",MENU!$B$9,G12, ".txt &amp; ",H12)))))</f>
        <v>sqlcmd -E -S UEIHNE01\SQLEXPRESS -d BDHIS_MINSA -i C:\HISMINSA\Scripts\MAESTROS\dbo.MAESTRO_HIS_UBIGEO_INEI_RENIEC.Table.sql -o C:\HISMINSA\Resultados\dbo.MAESTRO_HIS_UBIGEO_INEI_RENIEC.Table.txt &amp; @echo Script  ejecutado en la Base de datos UEIHNE01/SQLEXPRESS/BDHIS_MINSA</v>
      </c>
    </row>
    <row r="13" spans="1:9" ht="43.5" customHeight="1" thickBot="1" x14ac:dyDescent="0.25">
      <c r="A13" s="4" t="s">
        <v>67</v>
      </c>
      <c r="B13" s="4" t="str">
        <f>IF(MENU!$B$6="","INGRESE SERVIDOR",MENU!$B$6)</f>
        <v>UEIHNE01</v>
      </c>
      <c r="C13" s="13" t="str">
        <f>IF(MENU!$D$6="","",MENU!$D$6)</f>
        <v>SQLEXPRESS</v>
      </c>
      <c r="D13" s="5" t="str">
        <f>IF(MENU!$C$6="","INGRESE BASE",MENU!$C$6)</f>
        <v>BDHIS_MINSA</v>
      </c>
      <c r="E13" s="13" t="str">
        <f>IF(MENU!$C$9="","",MENU!$C$9)</f>
        <v/>
      </c>
      <c r="F13" s="13" t="str">
        <f>IF(MENU!$D$9="","",MENU!$D$9)</f>
        <v/>
      </c>
      <c r="G13" s="8" t="s">
        <v>25</v>
      </c>
      <c r="H13" s="5" t="str">
        <f t="shared" si="0"/>
        <v>@echo Script  ejecutado en la Base de datos UEIHNE01/SQLEXPRESS/BDHIS_MINSA</v>
      </c>
      <c r="I13" s="4" t="str">
        <f>IF(OR(E13="",F13=""),IF(C13="",IF(G13="","",(CONCATENATE("sqlcmd -E -S ",B13," -d ",D13," -i ",MENU!$E$6,A13,"\",G13,".sql -o ",MENU!$B$9,G13, ".txt &amp; ",H13))),IF(G13="","",(CONCATENATE("sqlcmd -E -S ",B13,"\",C13," -d ",D13," -i ",MENU!$E$6,A13,"\",G13,".sql -o ",MENU!$B$9,G13, ".txt &amp; ",H13)))),IF(C13="",IF(G13="","",(CONCATENATE("sqlcmd -S ",B13," -d ",D13," -U ",E13," -P ",F13," -i ",MENU!$E$6,A13,"\",G13,".sql -o ",MENU!$B$9,G13, ".txt &amp; ",H13))),IF(G13="","",(CONCATENATE("sqlcmd -S ",B13,"\",C13," -d ",D13," -U ",E13," -P ",F13," -i ",MENU!$E$6,A13,"\",G13,".sql -o ",MENU!$B$9,G13, ".txt &amp; ",H13)))))</f>
        <v>sqlcmd -E -S UEIHNE01\SQLEXPRESS -d BDHIS_MINSA -i C:\HISMINSA\Scripts\MAESTROS\dbo.MAESTRO_HIS_UPS.Table.sql -o C:\HISMINSA\Resultados\dbo.MAESTRO_HIS_UPS.Table.txt &amp; @echo Script  ejecutado en la Base de datos UEIHNE01/SQLEXPRESS/BDHIS_MINSA</v>
      </c>
    </row>
    <row r="14" spans="1:9" ht="43.5" customHeight="1" thickBot="1" x14ac:dyDescent="0.25">
      <c r="A14" s="4" t="s">
        <v>67</v>
      </c>
      <c r="B14" s="4" t="str">
        <f>IF(MENU!$B$6="","INGRESE SERVIDOR",MENU!$B$6)</f>
        <v>UEIHNE01</v>
      </c>
      <c r="C14" s="13" t="str">
        <f>IF(MENU!$D$6="","",MENU!$D$6)</f>
        <v>SQLEXPRESS</v>
      </c>
      <c r="D14" s="5" t="str">
        <f>IF(MENU!$C$6="","INGRESE BASE",MENU!$C$6)</f>
        <v>BDHIS_MINSA</v>
      </c>
      <c r="E14" s="13" t="str">
        <f>IF(MENU!$C$9="","",MENU!$C$9)</f>
        <v/>
      </c>
      <c r="F14" s="13" t="str">
        <f>IF(MENU!$D$9="","",MENU!$D$9)</f>
        <v/>
      </c>
      <c r="G14" s="8" t="s">
        <v>31</v>
      </c>
      <c r="H14" s="5" t="str">
        <f t="shared" si="0"/>
        <v>@echo Script  ejecutado en la Base de datos UEIHNE01/SQLEXPRESS/BDHIS_MINSA</v>
      </c>
      <c r="I14" s="4" t="str">
        <f>IF(OR(E14="",F14=""),IF(C14="",IF(G14="","",(CONCATENATE("sqlcmd -E -S ",B14," -d ",D14," -i ",MENU!$E$6,A14,"\",G14,".sql -o ",MENU!$B$9,G14, ".txt &amp; ",H14))),IF(G14="","",(CONCATENATE("sqlcmd -E -S ",B14,"\",C14," -d ",D14," -i ",MENU!$E$6,A14,"\",G14,".sql -o ",MENU!$B$9,G14, ".txt &amp; ",H14)))),IF(C14="",IF(G14="","",(CONCATENATE("sqlcmd -S ",B14," -d ",D14," -U ",E14," -P ",F14," -i ",MENU!$E$6,A14,"\",G14,".sql -o ",MENU!$B$9,G14, ".txt &amp; ",H14))),IF(G14="","",(CONCATENATE("sqlcmd -S ",B14,"\",C14," -d ",D14," -U ",E14," -P ",F14," -i ",MENU!$E$6,A14,"\",G14,".sql -o ",MENU!$B$9,G14, ".txt &amp; ",H14)))))</f>
        <v>sqlcmd -E -S UEIHNE01\SQLEXPRESS -d BDHIS_MINSA -i C:\HISMINSA\Scripts\MAESTROS\dbo.MAESTRO_HIS_CENTRO_POBLADO.Table.sql -o C:\HISMINSA\Resultados\dbo.MAESTRO_HIS_CENTRO_POBLADO.Table.txt &amp; @echo Script  ejecutado en la Base de datos UEIHNE01/SQLEXPRESS/BDHIS_MINSA</v>
      </c>
    </row>
    <row r="15" spans="1:9" ht="43.5" customHeight="1" thickBot="1" x14ac:dyDescent="0.25">
      <c r="A15" s="4" t="s">
        <v>67</v>
      </c>
      <c r="B15" s="4" t="str">
        <f>IF(MENU!$B$6="","INGRESE SERVIDOR",MENU!$B$6)</f>
        <v>UEIHNE01</v>
      </c>
      <c r="C15" s="13" t="str">
        <f>IF(MENU!$D$6="","",MENU!$D$6)</f>
        <v>SQLEXPRESS</v>
      </c>
      <c r="D15" s="5" t="str">
        <f>IF(MENU!$C$6="","INGRESE BASE",MENU!$C$6)</f>
        <v>BDHIS_MINSA</v>
      </c>
      <c r="E15" s="13" t="str">
        <f>IF(MENU!$C$9="","",MENU!$C$9)</f>
        <v/>
      </c>
      <c r="F15" s="13" t="str">
        <f>IF(MENU!$D$9="","",MENU!$D$9)</f>
        <v/>
      </c>
      <c r="G15" s="8" t="s">
        <v>37</v>
      </c>
      <c r="H15" s="5" t="str">
        <f t="shared" si="0"/>
        <v>@echo Script  ejecutado en la Base de datos UEIHNE01/SQLEXPRESS/BDHIS_MINSA</v>
      </c>
      <c r="I15" s="4" t="str">
        <f>IF(OR(E15="",F15=""),IF(C15="",IF(G15="","",(CONCATENATE("sqlcmd -E -S ",B15," -d ",D15," -i ",MENU!$E$6,A15,"\",G15,".sql -o ",MENU!$B$9,G15, ".txt &amp; ",H15))),IF(G15="","",(CONCATENATE("sqlcmd -E -S ",B15,"\",C15," -d ",D15," -i ",MENU!$E$6,A15,"\",G15,".sql -o ",MENU!$B$9,G15, ".txt &amp; ",H15)))),IF(C15="",IF(G15="","",(CONCATENATE("sqlcmd -S ",B15," -d ",D15," -U ",E15," -P ",F15," -i ",MENU!$E$6,A15,"\",G15,".sql -o ",MENU!$B$9,G15, ".txt &amp; ",H15))),IF(G15="","",(CONCATENATE("sqlcmd -S ",B15,"\",C15," -d ",D15," -U ",E15," -P ",F15," -i ",MENU!$E$6,A15,"\",G15,".sql -o ",MENU!$B$9,G15, ".txt &amp; ",H15)))))</f>
        <v>sqlcmd -E -S UEIHNE01\SQLEXPRESS -d BDHIS_MINSA -i C:\HISMINSA\Scripts\MAESTROS\dbo.DimPeriodo.Table.sql -o C:\HISMINSA\Resultados\dbo.DimPeriodo.Table.txt &amp; @echo Script  ejecutado en la Base de datos UEIHNE01/SQLEXPRESS/BDHIS_MINSA</v>
      </c>
    </row>
    <row r="16" spans="1:9" ht="43.5" customHeight="1" thickBot="1" x14ac:dyDescent="0.25">
      <c r="A16" s="4" t="s">
        <v>67</v>
      </c>
      <c r="B16" s="4" t="str">
        <f>IF(MENU!$B$6="","INGRESE SERVIDOR",MENU!$B$6)</f>
        <v>UEIHNE01</v>
      </c>
      <c r="C16" s="13" t="str">
        <f>IF(MENU!$D$6="","",MENU!$D$6)</f>
        <v>SQLEXPRESS</v>
      </c>
      <c r="D16" s="5" t="str">
        <f>IF(MENU!$C$6="","INGRESE BASE",MENU!$C$6)</f>
        <v>BDHIS_MINSA</v>
      </c>
      <c r="E16" s="13" t="str">
        <f>IF(MENU!$C$9="","",MENU!$C$9)</f>
        <v/>
      </c>
      <c r="F16" s="13" t="str">
        <f>IF(MENU!$D$9="","",MENU!$D$9)</f>
        <v/>
      </c>
      <c r="G16" s="8" t="s">
        <v>74</v>
      </c>
      <c r="H16" s="5" t="str">
        <f t="shared" si="0"/>
        <v>@echo Script  ejecutado en la Base de datos UEIHNE01/SQLEXPRESS/BDHIS_MINSA</v>
      </c>
      <c r="I16" s="4" t="str">
        <f>IF(OR(E16="",F16=""),IF(C16="",IF(G16="","",(CONCATENATE("sqlcmd -E -S ",B16," -d ",D16," -i ",MENU!$E$6,A16,"\",G16,".sql -o ",MENU!$B$9,G16, ".txt &amp; ",H16))),IF(G16="","",(CONCATENATE("sqlcmd -E -S ",B16,"\",C16," -d ",D16," -i ",MENU!$E$6,A16,"\",G16,".sql -o ",MENU!$B$9,G16, ".txt &amp; ",H16)))),IF(C16="",IF(G16="","",(CONCATENATE("sqlcmd -S ",B16," -d ",D16," -U ",E16," -P ",F16," -i ",MENU!$E$6,A16,"\",G16,".sql -o ",MENU!$B$9,G16, ".txt &amp; ",H16))),IF(G16="","",(CONCATENATE("sqlcmd -S ",B16,"\",C16," -d ",D16," -U ",E16," -P ",F16," -i ",MENU!$E$6,A16,"\",G16,".sql -o ",MENU!$B$9,G16, ".txt &amp; ",H16)))))</f>
        <v>sqlcmd -E -S UEIHNE01\SQLEXPRESS -d BDHIS_MINSA -i C:\HISMINSA\Scripts\MAESTROS\dbo.MAESTRO_HIS_ACTIVIDAD_HIS.Table.sql -o C:\HISMINSA\Resultados\dbo.MAESTRO_HIS_ACTIVIDAD_HIS.Table.txt &amp; @echo Script  ejecutado en la Base de datos UEIHNE01/SQLEXPRESS/BDHIS_MINSA</v>
      </c>
    </row>
    <row r="17" spans="1:9" ht="43.5" customHeight="1" thickBot="1" x14ac:dyDescent="0.25">
      <c r="A17" s="4" t="s">
        <v>67</v>
      </c>
      <c r="B17" s="4" t="str">
        <f>IF(MENU!$B$6="","INGRESE SERVIDOR",MENU!$B$6)</f>
        <v>UEIHNE01</v>
      </c>
      <c r="C17" s="13" t="str">
        <f>IF(MENU!$D$6="","",MENU!$D$6)</f>
        <v>SQLEXPRESS</v>
      </c>
      <c r="D17" s="5" t="str">
        <f>IF(MENU!$C$6="","INGRESE BASE",MENU!$C$6)</f>
        <v>BDHIS_MINSA</v>
      </c>
      <c r="E17" s="13" t="str">
        <f>IF(MENU!$C$9="","",MENU!$C$9)</f>
        <v/>
      </c>
      <c r="F17" s="13" t="str">
        <f>IF(MENU!$D$9="","",MENU!$D$9)</f>
        <v/>
      </c>
      <c r="G17" s="8" t="s">
        <v>76</v>
      </c>
      <c r="H17" s="5" t="str">
        <f t="shared" si="0"/>
        <v>@echo Script  ejecutado en la Base de datos UEIHNE01/SQLEXPRESS/BDHIS_MINSA</v>
      </c>
      <c r="I17" s="4" t="str">
        <f>IF(OR(E17="",F17=""),IF(C17="",IF(G17="","",(CONCATENATE("sqlcmd -E -S ",B17," -d ",D17," -i ",MENU!$E$6,A17,"\",G17,".sql -o ",MENU!$B$9,G17, ".txt &amp; ",H17))),IF(G17="","",(CONCATENATE("sqlcmd -E -S ",B17,"\",C17," -d ",D17," -i ",MENU!$E$6,A17,"\",G17,".sql -o ",MENU!$B$9,G17, ".txt &amp; ",H17)))),IF(C17="",IF(G17="","",(CONCATENATE("sqlcmd -S ",B17," -d ",D17," -U ",E17," -P ",F17," -i ",MENU!$E$6,A17,"\",G17,".sql -o ",MENU!$B$9,G17, ".txt &amp; ",H17))),IF(G17="","",(CONCATENATE("sqlcmd -S ",B17,"\",C17," -d ",D17," -U ",E17," -P ",F17," -i ",MENU!$E$6,A17,"\",G17,".sql -o ",MENU!$B$9,G17, ".txt &amp; ",H17)))))</f>
        <v>sqlcmd -E -S UEIHNE01\SQLEXPRESS -d BDHIS_MINSA -i C:\HISMINSA\Scripts\MAESTROS\dbo.TRAMAHIS_DTSG.Table.sql -o C:\HISMINSA\Resultados\dbo.TRAMAHIS_DTSG.Table.txt &amp; @echo Script  ejecutado en la Base de datos UEIHNE01/SQLEXPRESS/BDHIS_MINSA</v>
      </c>
    </row>
    <row r="18" spans="1:9" ht="43.5" customHeight="1" thickBot="1" x14ac:dyDescent="0.25">
      <c r="A18" s="4" t="s">
        <v>67</v>
      </c>
      <c r="B18" s="4" t="str">
        <f>IF(MENU!$B$6="","INGRESE SERVIDOR",MENU!$B$6)</f>
        <v>UEIHNE01</v>
      </c>
      <c r="C18" s="13" t="str">
        <f>IF(MENU!$D$6="","",MENU!$D$6)</f>
        <v>SQLEXPRESS</v>
      </c>
      <c r="D18" s="5" t="str">
        <f>IF(MENU!$C$6="","INGRESE BASE",MENU!$C$6)</f>
        <v>BDHIS_MINSA</v>
      </c>
      <c r="E18" s="13" t="str">
        <f>IF(MENU!$C$9="","",MENU!$C$9)</f>
        <v/>
      </c>
      <c r="F18" s="13" t="str">
        <f>IF(MENU!$D$9="","",MENU!$D$9)</f>
        <v/>
      </c>
      <c r="G18" s="8" t="s">
        <v>77</v>
      </c>
      <c r="H18" s="5" t="str">
        <f t="shared" si="0"/>
        <v>@echo Script  ejecutado en la Base de datos UEIHNE01/SQLEXPRESS/BDHIS_MINSA</v>
      </c>
      <c r="I18" s="4" t="str">
        <f>IF(OR(E18="",F18=""),IF(C18="",IF(G18="","",(CONCATENATE("sqlcmd -E -S ",B18," -d ",D18," -i ",MENU!$E$6,A18,"\",G18,".sql -o ",MENU!$B$9,G18, ".txt &amp; ",H18))),IF(G18="","",(CONCATENATE("sqlcmd -E -S ",B18,"\",C18," -d ",D18," -i ",MENU!$E$6,A18,"\",G18,".sql -o ",MENU!$B$9,G18, ".txt &amp; ",H18)))),IF(C18="",IF(G18="","",(CONCATENATE("sqlcmd -S ",B18," -d ",D18," -U ",E18," -P ",F18," -i ",MENU!$E$6,A18,"\",G18,".sql -o ",MENU!$B$9,G18, ".txt &amp; ",H18))),IF(G18="","",(CONCATENATE("sqlcmd -S ",B18,"\",C18," -d ",D18," -U ",E18," -P ",F18," -i ",MENU!$E$6,A18,"\",G18,".sql -o ",MENU!$B$9,G18, ".txt &amp; ",H18)))))</f>
        <v>sqlcmd -E -S UEIHNE01\SQLEXPRESS -d BDHIS_MINSA -i C:\HISMINSA\Scripts\MAESTROS\dbo.MAESTRO_HIS_SISTEMA.Table.sql -o C:\HISMINSA\Resultados\dbo.MAESTRO_HIS_SISTEMA.Table.txt &amp; @echo Script  ejecutado en la Base de datos UEIHNE01/SQLEXPRESS/BDHIS_MINSA</v>
      </c>
    </row>
    <row r="19" spans="1:9" ht="43.5" customHeight="1" thickBot="1" x14ac:dyDescent="0.25">
      <c r="A19" s="4" t="s">
        <v>67</v>
      </c>
      <c r="B19" s="4" t="str">
        <f>IF(MENU!$B$6="","INGRESE SERVIDOR",MENU!$B$6)</f>
        <v>UEIHNE01</v>
      </c>
      <c r="C19" s="13" t="str">
        <f>IF(MENU!$D$6="","",MENU!$D$6)</f>
        <v>SQLEXPRESS</v>
      </c>
      <c r="D19" s="5" t="str">
        <f>IF(MENU!$C$6="","INGRESE BASE",MENU!$C$6)</f>
        <v>BDHIS_MINSA</v>
      </c>
      <c r="E19" s="13" t="str">
        <f>IF(MENU!$C$9="","",MENU!$C$9)</f>
        <v/>
      </c>
      <c r="F19" s="13" t="str">
        <f>IF(MENU!$D$9="","",MENU!$D$9)</f>
        <v/>
      </c>
      <c r="G19" s="8" t="s">
        <v>207</v>
      </c>
      <c r="H19" s="5" t="str">
        <f t="shared" ref="H19" si="1">IF(C19="",CONCATENATE("@echo Script ",G19, ".sql ejecutado en la Base de datos ", B19,"/",D19),CONCATENATE("@echo Script ",E19, " ejecutado en la Base de datos ", B19,"/",C19,"/",D19))</f>
        <v>@echo Script  ejecutado en la Base de datos UEIHNE01/SQLEXPRESS/BDHIS_MINSA</v>
      </c>
      <c r="I19" s="4" t="str">
        <f>IF(OR(E19="",F19=""),IF(C19="",IF(G19="","",(CONCATENATE("sqlcmd -E -S ",B19," -d ",D19," -i ",MENU!$E$6,A19,"\",G19,".sql -o ",MENU!$B$9,G19, ".txt &amp; ",H19))),IF(G19="","",(CONCATENATE("sqlcmd -E -S ",B19,"\",C19," -d ",D19," -i ",MENU!$E$6,A19,"\",G19,".sql -o ",MENU!$B$9,G19, ".txt &amp; ",H19)))),IF(C19="",IF(G19="","",(CONCATENATE("sqlcmd -S ",B19," -d ",D19," -U ",E19," -P ",F19," -i ",MENU!$E$6,A19,"\",G19,".sql -o ",MENU!$B$9,G19, ".txt &amp; ",H19))),IF(G19="","",(CONCATENATE("sqlcmd -S ",B19,"\",C19," -d ",D19," -U ",E19," -P ",F19," -i ",MENU!$E$6,A19,"\",G19,".sql -o ",MENU!$B$9,G19, ".txt &amp; ",H19)))))</f>
        <v>sqlcmd -E -S UEIHNE01\SQLEXPRESS -d BDHIS_MINSA -i C:\HISMINSA\Scripts\MAESTROS\dbo.DimSexo.Table.sql -o C:\HISMINSA\Resultados\dbo.DimSexo.Table.txt &amp; @echo Script  ejecutado en la Base de datos UEIHNE01/SQLEXPRESS/BDHIS_MINSA</v>
      </c>
    </row>
    <row r="20" spans="1:9" ht="43.5" customHeight="1" thickBot="1" x14ac:dyDescent="0.25">
      <c r="A20" s="4"/>
      <c r="B20" s="4"/>
      <c r="C20" s="13"/>
      <c r="D20" s="5"/>
      <c r="E20" s="13"/>
      <c r="F20" s="13"/>
      <c r="G20" s="8"/>
      <c r="H20" s="5"/>
      <c r="I20" s="4"/>
    </row>
    <row r="21" spans="1:9" ht="43.5" customHeight="1" thickBot="1" x14ac:dyDescent="0.25">
      <c r="A21" s="4"/>
      <c r="B21" s="4"/>
      <c r="C21" s="13"/>
      <c r="D21" s="5"/>
      <c r="E21" s="13"/>
      <c r="F21" s="13"/>
      <c r="G21" s="8"/>
      <c r="H21" s="5"/>
      <c r="I21" s="4"/>
    </row>
    <row r="22" spans="1:9" ht="43.5" customHeight="1" thickBot="1" x14ac:dyDescent="0.25">
      <c r="A22" s="4"/>
      <c r="B22" s="4"/>
      <c r="C22" s="13"/>
      <c r="D22" s="5"/>
      <c r="E22" s="13"/>
      <c r="F22" s="13"/>
      <c r="G22" s="8"/>
      <c r="H22" s="5"/>
      <c r="I22" s="4"/>
    </row>
    <row r="23" spans="1:9" ht="43.5" customHeight="1" thickBot="1" x14ac:dyDescent="0.25">
      <c r="A23" s="4"/>
      <c r="B23" s="4"/>
      <c r="C23" s="13"/>
      <c r="D23" s="5"/>
      <c r="E23" s="13"/>
      <c r="F23" s="13"/>
      <c r="G23" s="8"/>
      <c r="H23" s="5"/>
      <c r="I23" s="4"/>
    </row>
    <row r="24" spans="1:9" ht="43.5" customHeight="1" thickBot="1" x14ac:dyDescent="0.25">
      <c r="A24" s="4"/>
      <c r="B24" s="4"/>
      <c r="C24" s="13"/>
      <c r="D24" s="5"/>
      <c r="E24" s="13"/>
      <c r="F24" s="13"/>
      <c r="G24" s="8"/>
      <c r="H24" s="5"/>
      <c r="I24" s="4"/>
    </row>
    <row r="25" spans="1:9" ht="43.5" customHeight="1" thickBot="1" x14ac:dyDescent="0.25">
      <c r="A25" s="4"/>
      <c r="B25" s="4"/>
      <c r="C25" s="13"/>
      <c r="D25" s="5"/>
      <c r="E25" s="13"/>
      <c r="F25" s="13"/>
      <c r="G25" s="8"/>
      <c r="H25" s="5"/>
      <c r="I25" s="4"/>
    </row>
    <row r="26" spans="1:9" ht="43.5" customHeight="1" thickBot="1" x14ac:dyDescent="0.25">
      <c r="A26" s="4"/>
      <c r="B26" s="4"/>
      <c r="C26" s="13"/>
      <c r="D26" s="5"/>
      <c r="E26" s="13"/>
      <c r="F26" s="13"/>
      <c r="G26" s="8"/>
      <c r="H26" s="5"/>
      <c r="I26" s="4"/>
    </row>
    <row r="27" spans="1:9" ht="43.5" customHeight="1" thickBot="1" x14ac:dyDescent="0.25">
      <c r="A27" s="4"/>
      <c r="B27" s="4"/>
      <c r="C27" s="13"/>
      <c r="D27" s="5"/>
      <c r="E27" s="13"/>
      <c r="F27" s="13"/>
      <c r="G27" s="8"/>
      <c r="H27" s="5"/>
      <c r="I27" s="4"/>
    </row>
    <row r="28" spans="1:9" ht="43.5" customHeight="1" thickBot="1" x14ac:dyDescent="0.25">
      <c r="A28" s="4"/>
      <c r="B28" s="4"/>
      <c r="C28" s="13"/>
      <c r="D28" s="5"/>
      <c r="E28" s="13"/>
      <c r="F28" s="13"/>
      <c r="G28" s="8"/>
      <c r="H28" s="5"/>
      <c r="I28" s="4"/>
    </row>
    <row r="29" spans="1:9" ht="43.5" customHeight="1" thickBot="1" x14ac:dyDescent="0.25">
      <c r="A29" s="4"/>
      <c r="B29" s="4"/>
      <c r="C29" s="13"/>
      <c r="D29" s="5"/>
      <c r="E29" s="13"/>
      <c r="F29" s="13"/>
      <c r="G29" s="8"/>
      <c r="H29" s="5"/>
      <c r="I29" s="4"/>
    </row>
    <row r="30" spans="1:9" ht="43.5" customHeight="1" thickBot="1" x14ac:dyDescent="0.25">
      <c r="A30" s="4"/>
      <c r="B30" s="4"/>
      <c r="C30" s="13"/>
      <c r="D30" s="5"/>
      <c r="E30" s="13"/>
      <c r="F30" s="13"/>
      <c r="G30" s="8"/>
      <c r="H30" s="5"/>
      <c r="I30" s="4"/>
    </row>
    <row r="31" spans="1:9" ht="43.5" customHeight="1" thickBot="1" x14ac:dyDescent="0.25">
      <c r="A31" s="4"/>
      <c r="B31" s="4"/>
      <c r="C31" s="13"/>
      <c r="D31" s="5"/>
      <c r="E31" s="13"/>
      <c r="F31" s="13"/>
      <c r="G31" s="8"/>
      <c r="H31" s="5"/>
      <c r="I31" s="4"/>
    </row>
    <row r="32" spans="1:9" ht="43.5" customHeight="1" thickBot="1" x14ac:dyDescent="0.25">
      <c r="A32" s="4"/>
      <c r="B32" s="4"/>
      <c r="C32" s="13"/>
      <c r="D32" s="5"/>
      <c r="E32" s="13"/>
      <c r="F32" s="13"/>
      <c r="G32" s="8"/>
      <c r="H32" s="5"/>
      <c r="I32" s="4"/>
    </row>
    <row r="33" spans="1:9" ht="43.5" customHeight="1" thickBot="1" x14ac:dyDescent="0.25">
      <c r="A33" s="4"/>
      <c r="B33" s="4"/>
      <c r="C33" s="13"/>
      <c r="D33" s="5"/>
      <c r="E33" s="13"/>
      <c r="F33" s="13"/>
      <c r="G33" s="8"/>
      <c r="H33" s="5"/>
      <c r="I33" s="4"/>
    </row>
    <row r="34" spans="1:9" ht="43.5" customHeight="1" thickBot="1" x14ac:dyDescent="0.25">
      <c r="A34" s="4"/>
      <c r="B34" s="4"/>
      <c r="C34" s="13"/>
      <c r="D34" s="5"/>
      <c r="E34" s="13"/>
      <c r="F34" s="13"/>
      <c r="G34" s="8"/>
      <c r="H34" s="5"/>
      <c r="I34" s="4"/>
    </row>
    <row r="35" spans="1:9" ht="43.5" customHeight="1" thickBot="1" x14ac:dyDescent="0.25">
      <c r="A35" s="4"/>
      <c r="B35" s="4"/>
      <c r="C35" s="13"/>
      <c r="D35" s="5"/>
      <c r="E35" s="13"/>
      <c r="F35" s="13"/>
      <c r="G35" s="8"/>
      <c r="H35" s="5"/>
      <c r="I35" s="4"/>
    </row>
    <row r="36" spans="1:9" ht="43.5" customHeight="1" thickBot="1" x14ac:dyDescent="0.25">
      <c r="A36" s="4"/>
      <c r="B36" s="4"/>
      <c r="C36" s="13"/>
      <c r="D36" s="5"/>
      <c r="E36" s="13"/>
      <c r="F36" s="13"/>
      <c r="G36" s="8"/>
      <c r="H36" s="5"/>
      <c r="I36" s="4"/>
    </row>
    <row r="37" spans="1:9" ht="43.5" customHeight="1" thickBot="1" x14ac:dyDescent="0.25">
      <c r="A37" s="4"/>
      <c r="B37" s="4"/>
      <c r="C37" s="13"/>
      <c r="D37" s="5"/>
      <c r="E37" s="13"/>
      <c r="F37" s="13"/>
      <c r="G37" s="8"/>
      <c r="H37" s="5"/>
      <c r="I37" s="4"/>
    </row>
    <row r="38" spans="1:9" ht="43.5" customHeight="1" thickBot="1" x14ac:dyDescent="0.25">
      <c r="A38" s="4"/>
      <c r="B38" s="4"/>
      <c r="C38" s="13"/>
      <c r="D38" s="5"/>
      <c r="E38" s="13"/>
      <c r="F38" s="13"/>
      <c r="G38" s="8"/>
      <c r="H38" s="5"/>
      <c r="I38" s="4"/>
    </row>
    <row r="39" spans="1:9" ht="43.5" customHeight="1" thickBot="1" x14ac:dyDescent="0.25">
      <c r="A39" s="4"/>
      <c r="B39" s="4"/>
      <c r="C39" s="13"/>
      <c r="D39" s="5"/>
      <c r="E39" s="13"/>
      <c r="F39" s="13"/>
      <c r="G39" s="8"/>
      <c r="H39" s="5"/>
      <c r="I39" s="4"/>
    </row>
    <row r="40" spans="1:9" ht="43.5" customHeight="1" thickBot="1" x14ac:dyDescent="0.25">
      <c r="A40" s="4"/>
      <c r="B40" s="4"/>
      <c r="C40" s="13"/>
      <c r="D40" s="5"/>
      <c r="E40" s="13"/>
      <c r="F40" s="13"/>
      <c r="G40" s="8"/>
      <c r="H40" s="5"/>
      <c r="I40" s="4"/>
    </row>
    <row r="41" spans="1:9" ht="43.5" customHeight="1" thickBot="1" x14ac:dyDescent="0.25">
      <c r="A41" s="4"/>
      <c r="B41" s="4"/>
      <c r="C41" s="13"/>
      <c r="D41" s="5"/>
      <c r="E41" s="13"/>
      <c r="F41" s="13"/>
      <c r="G41" s="8"/>
      <c r="H41" s="5"/>
      <c r="I41" s="4"/>
    </row>
    <row r="42" spans="1:9" ht="43.5" customHeight="1" thickBot="1" x14ac:dyDescent="0.25">
      <c r="A42" s="4"/>
      <c r="B42" s="4"/>
      <c r="C42" s="13"/>
      <c r="D42" s="5"/>
      <c r="E42" s="13"/>
      <c r="F42" s="13"/>
      <c r="G42" s="8"/>
      <c r="H42" s="5"/>
      <c r="I42" s="4"/>
    </row>
    <row r="43" spans="1:9" ht="43.5" customHeight="1" thickBot="1" x14ac:dyDescent="0.25">
      <c r="A43" s="4"/>
      <c r="B43" s="4"/>
      <c r="C43" s="13"/>
      <c r="D43" s="5"/>
      <c r="E43" s="13"/>
      <c r="F43" s="13"/>
      <c r="G43" s="8"/>
      <c r="H43" s="5"/>
      <c r="I43" s="4"/>
    </row>
    <row r="44" spans="1:9" ht="43.5" customHeight="1" thickBot="1" x14ac:dyDescent="0.25">
      <c r="A44" s="4"/>
      <c r="B44" s="4"/>
      <c r="C44" s="13"/>
      <c r="D44" s="5"/>
      <c r="E44" s="13"/>
      <c r="F44" s="13"/>
      <c r="G44" s="8"/>
      <c r="H44" s="5"/>
      <c r="I44" s="4"/>
    </row>
    <row r="45" spans="1:9" ht="43.5" customHeight="1" thickBot="1" x14ac:dyDescent="0.25">
      <c r="A45" s="4"/>
      <c r="B45" s="4"/>
      <c r="C45" s="13"/>
      <c r="D45" s="5"/>
      <c r="E45" s="13"/>
      <c r="F45" s="13"/>
      <c r="G45" s="8"/>
      <c r="H45" s="5"/>
      <c r="I45" s="4"/>
    </row>
    <row r="46" spans="1:9" ht="43.5" customHeight="1" thickBot="1" x14ac:dyDescent="0.25">
      <c r="A46" s="4"/>
      <c r="B46" s="4"/>
      <c r="C46" s="13"/>
      <c r="D46" s="5"/>
      <c r="E46" s="13"/>
      <c r="F46" s="13"/>
      <c r="G46" s="8"/>
      <c r="H46" s="5"/>
      <c r="I46" s="4"/>
    </row>
    <row r="47" spans="1:9" ht="43.5" customHeight="1" thickBot="1" x14ac:dyDescent="0.25">
      <c r="A47" s="4"/>
      <c r="B47" s="4"/>
      <c r="C47" s="13"/>
      <c r="D47" s="5"/>
      <c r="E47" s="13"/>
      <c r="F47" s="13"/>
      <c r="G47" s="8"/>
      <c r="H47" s="5"/>
      <c r="I47" s="4"/>
    </row>
    <row r="48" spans="1:9" ht="43.5" customHeight="1" thickBot="1" x14ac:dyDescent="0.25">
      <c r="A48" s="4"/>
      <c r="B48" s="4"/>
      <c r="C48" s="13"/>
      <c r="D48" s="5"/>
      <c r="E48" s="13"/>
      <c r="F48" s="13"/>
      <c r="G48" s="8"/>
      <c r="H48" s="5"/>
      <c r="I48" s="4"/>
    </row>
    <row r="49" spans="1:9" ht="43.5" customHeight="1" thickBot="1" x14ac:dyDescent="0.25">
      <c r="A49" s="4"/>
      <c r="B49" s="4"/>
      <c r="C49" s="13"/>
      <c r="D49" s="5"/>
      <c r="E49" s="13"/>
      <c r="F49" s="13"/>
      <c r="G49" s="8"/>
      <c r="H49" s="5"/>
      <c r="I49" s="4"/>
    </row>
    <row r="50" spans="1:9" ht="43.5" customHeight="1" thickBot="1" x14ac:dyDescent="0.25">
      <c r="A50" s="4"/>
      <c r="B50" s="4"/>
      <c r="C50" s="13"/>
      <c r="D50" s="5"/>
      <c r="E50" s="13"/>
      <c r="F50" s="13"/>
      <c r="G50" s="8"/>
      <c r="H50" s="5"/>
      <c r="I50" s="4"/>
    </row>
    <row r="51" spans="1:9" ht="43.5" customHeight="1" thickBot="1" x14ac:dyDescent="0.25">
      <c r="A51" s="4"/>
      <c r="B51" s="4"/>
      <c r="C51" s="13"/>
      <c r="D51" s="5"/>
      <c r="E51" s="13"/>
      <c r="F51" s="13"/>
      <c r="G51" s="8"/>
      <c r="H51" s="5"/>
      <c r="I51" s="4"/>
    </row>
    <row r="52" spans="1:9" ht="43.5" customHeight="1" thickBot="1" x14ac:dyDescent="0.25">
      <c r="A52" s="4"/>
      <c r="B52" s="4"/>
      <c r="C52" s="13"/>
      <c r="D52" s="5"/>
      <c r="E52" s="13"/>
      <c r="F52" s="13"/>
      <c r="G52" s="8"/>
      <c r="H52" s="5"/>
      <c r="I52" s="4"/>
    </row>
    <row r="53" spans="1:9" ht="43.5" customHeight="1" thickBot="1" x14ac:dyDescent="0.25">
      <c r="A53" s="4"/>
      <c r="B53" s="4"/>
      <c r="C53" s="13"/>
      <c r="D53" s="5"/>
      <c r="E53" s="13"/>
      <c r="F53" s="13"/>
      <c r="G53" s="8"/>
      <c r="H53" s="5"/>
      <c r="I53" s="4"/>
    </row>
    <row r="54" spans="1:9" ht="43.5" customHeight="1" thickBot="1" x14ac:dyDescent="0.25">
      <c r="A54" s="4"/>
      <c r="B54" s="4"/>
      <c r="C54" s="13"/>
      <c r="D54" s="5"/>
      <c r="E54" s="13"/>
      <c r="F54" s="13"/>
      <c r="G54" s="8"/>
      <c r="H54" s="5"/>
      <c r="I54" s="4"/>
    </row>
    <row r="55" spans="1:9" ht="43.5" customHeight="1" thickBot="1" x14ac:dyDescent="0.25">
      <c r="A55" s="4"/>
      <c r="B55" s="4"/>
      <c r="C55" s="13"/>
      <c r="D55" s="5"/>
      <c r="E55" s="13"/>
      <c r="F55" s="13"/>
      <c r="G55" s="8"/>
      <c r="H55" s="5"/>
      <c r="I55" s="4"/>
    </row>
    <row r="56" spans="1:9" ht="43.5" customHeight="1" thickBot="1" x14ac:dyDescent="0.25">
      <c r="A56" s="4"/>
      <c r="B56" s="4"/>
      <c r="C56" s="13"/>
      <c r="D56" s="5"/>
      <c r="E56" s="13"/>
      <c r="F56" s="13"/>
      <c r="G56" s="8"/>
      <c r="H56" s="5"/>
      <c r="I56" s="4"/>
    </row>
    <row r="57" spans="1:9" ht="43.5" customHeight="1" thickBot="1" x14ac:dyDescent="0.25">
      <c r="A57" s="4"/>
      <c r="B57" s="4"/>
      <c r="C57" s="13"/>
      <c r="D57" s="5"/>
      <c r="E57" s="13"/>
      <c r="F57" s="13"/>
      <c r="G57" s="8"/>
      <c r="H57" s="5"/>
      <c r="I57" s="4"/>
    </row>
    <row r="58" spans="1:9" ht="43.5" customHeight="1" thickBot="1" x14ac:dyDescent="0.25">
      <c r="A58" s="4"/>
      <c r="B58" s="4"/>
      <c r="C58" s="13"/>
      <c r="D58" s="5"/>
      <c r="E58" s="13"/>
      <c r="F58" s="13"/>
      <c r="G58" s="8"/>
      <c r="H58" s="5"/>
      <c r="I58" s="4"/>
    </row>
    <row r="59" spans="1:9" ht="43.5" customHeight="1" thickBot="1" x14ac:dyDescent="0.25">
      <c r="A59" s="4"/>
      <c r="B59" s="4"/>
      <c r="C59" s="13"/>
      <c r="D59" s="5"/>
      <c r="E59" s="13"/>
      <c r="F59" s="13"/>
      <c r="G59" s="8"/>
      <c r="H59" s="5"/>
      <c r="I59" s="4"/>
    </row>
    <row r="60" spans="1:9" ht="43.5" customHeight="1" thickBot="1" x14ac:dyDescent="0.25">
      <c r="A60" s="4"/>
      <c r="B60" s="4"/>
      <c r="C60" s="13"/>
      <c r="D60" s="5"/>
      <c r="E60" s="13"/>
      <c r="F60" s="13"/>
      <c r="G60" s="8"/>
      <c r="H60" s="5"/>
      <c r="I60" s="4"/>
    </row>
    <row r="61" spans="1:9" ht="43.5" customHeight="1" thickBot="1" x14ac:dyDescent="0.25">
      <c r="A61" s="4"/>
      <c r="B61" s="4"/>
      <c r="C61" s="13"/>
      <c r="D61" s="5"/>
      <c r="E61" s="13"/>
      <c r="F61" s="13"/>
      <c r="G61" s="8"/>
      <c r="H61" s="5"/>
      <c r="I61" s="4"/>
    </row>
    <row r="62" spans="1:9" ht="43.5" customHeight="1" thickBot="1" x14ac:dyDescent="0.25">
      <c r="A62" s="4"/>
      <c r="B62" s="4"/>
      <c r="C62" s="13"/>
      <c r="D62" s="5"/>
      <c r="E62" s="13"/>
      <c r="F62" s="13"/>
      <c r="G62" s="8"/>
      <c r="H62" s="5"/>
      <c r="I62" s="4"/>
    </row>
    <row r="63" spans="1:9" ht="43.5" customHeight="1" thickBot="1" x14ac:dyDescent="0.25">
      <c r="A63" s="4"/>
      <c r="B63" s="4"/>
      <c r="C63" s="13"/>
      <c r="D63" s="5"/>
      <c r="E63" s="13"/>
      <c r="F63" s="13"/>
      <c r="G63" s="8"/>
      <c r="H63" s="5"/>
      <c r="I63" s="4"/>
    </row>
    <row r="64" spans="1:9" ht="43.5" customHeight="1" thickBot="1" x14ac:dyDescent="0.25">
      <c r="A64" s="4"/>
      <c r="B64" s="4"/>
      <c r="C64" s="13"/>
      <c r="D64" s="5"/>
      <c r="E64" s="13"/>
      <c r="F64" s="13"/>
      <c r="G64" s="8"/>
      <c r="H64" s="5"/>
      <c r="I64" s="4"/>
    </row>
    <row r="65" spans="1:9" ht="43.5" customHeight="1" thickBot="1" x14ac:dyDescent="0.25">
      <c r="A65" s="4"/>
      <c r="B65" s="4"/>
      <c r="C65" s="13"/>
      <c r="D65" s="5"/>
      <c r="E65" s="13"/>
      <c r="F65" s="13"/>
      <c r="G65" s="8"/>
      <c r="H65" s="5"/>
      <c r="I65" s="4"/>
    </row>
    <row r="66" spans="1:9" ht="43.5" customHeight="1" thickBot="1" x14ac:dyDescent="0.25">
      <c r="A66" s="4"/>
      <c r="B66" s="4"/>
      <c r="C66" s="13"/>
      <c r="D66" s="5"/>
      <c r="E66" s="13"/>
      <c r="F66" s="13"/>
      <c r="G66" s="8"/>
      <c r="H66" s="5"/>
      <c r="I66" s="4"/>
    </row>
    <row r="67" spans="1:9" ht="43.5" customHeight="1" thickBot="1" x14ac:dyDescent="0.25">
      <c r="A67" s="4"/>
      <c r="B67" s="4"/>
      <c r="C67" s="13"/>
      <c r="D67" s="5"/>
      <c r="E67" s="13"/>
      <c r="F67" s="13"/>
      <c r="G67" s="8"/>
      <c r="H67" s="5"/>
      <c r="I67" s="4"/>
    </row>
    <row r="68" spans="1:9" ht="43.5" customHeight="1" thickBot="1" x14ac:dyDescent="0.25">
      <c r="A68" s="4"/>
      <c r="B68" s="4"/>
      <c r="C68" s="13"/>
      <c r="D68" s="5"/>
      <c r="E68" s="13"/>
      <c r="F68" s="13"/>
      <c r="G68" s="8"/>
      <c r="H68" s="5"/>
      <c r="I68" s="4"/>
    </row>
    <row r="69" spans="1:9" ht="43.5" customHeight="1" thickBot="1" x14ac:dyDescent="0.25">
      <c r="A69" s="4"/>
      <c r="B69" s="4"/>
      <c r="C69" s="13"/>
      <c r="D69" s="5"/>
      <c r="E69" s="13"/>
      <c r="F69" s="13"/>
      <c r="G69" s="8"/>
      <c r="H69" s="5"/>
      <c r="I69" s="4"/>
    </row>
    <row r="70" spans="1:9" ht="43.5" customHeight="1" thickBot="1" x14ac:dyDescent="0.25">
      <c r="A70" s="4"/>
      <c r="B70" s="4"/>
      <c r="C70" s="13"/>
      <c r="D70" s="5"/>
      <c r="E70" s="13"/>
      <c r="F70" s="13"/>
      <c r="G70" s="8"/>
      <c r="H70" s="5"/>
      <c r="I70" s="4"/>
    </row>
    <row r="71" spans="1:9" ht="43.5" customHeight="1" thickBot="1" x14ac:dyDescent="0.25">
      <c r="A71" s="4"/>
      <c r="B71" s="4"/>
      <c r="C71" s="13"/>
      <c r="D71" s="5"/>
      <c r="E71" s="13"/>
      <c r="F71" s="13"/>
      <c r="G71" s="8"/>
      <c r="H71" s="5"/>
      <c r="I71" s="4"/>
    </row>
    <row r="72" spans="1:9" ht="43.5" customHeight="1" thickBot="1" x14ac:dyDescent="0.25">
      <c r="A72" s="4"/>
      <c r="B72" s="4"/>
      <c r="C72" s="13"/>
      <c r="D72" s="5"/>
      <c r="E72" s="13"/>
      <c r="F72" s="13"/>
      <c r="G72" s="8"/>
      <c r="H72" s="5"/>
      <c r="I72" s="4"/>
    </row>
    <row r="73" spans="1:9" ht="43.5" customHeight="1" thickBot="1" x14ac:dyDescent="0.25">
      <c r="A73" s="4"/>
      <c r="B73" s="4"/>
      <c r="C73" s="13"/>
      <c r="D73" s="5"/>
      <c r="E73" s="13"/>
      <c r="F73" s="13"/>
      <c r="G73" s="8"/>
      <c r="H73" s="5"/>
      <c r="I73" s="4"/>
    </row>
    <row r="74" spans="1:9" ht="43.5" customHeight="1" thickBot="1" x14ac:dyDescent="0.25">
      <c r="A74" s="4"/>
      <c r="B74" s="4"/>
      <c r="C74" s="13"/>
      <c r="D74" s="5"/>
      <c r="E74" s="13"/>
      <c r="F74" s="13"/>
      <c r="G74" s="8"/>
      <c r="H74" s="5"/>
      <c r="I74" s="4"/>
    </row>
    <row r="75" spans="1:9" ht="43.5" customHeight="1" thickBot="1" x14ac:dyDescent="0.25">
      <c r="A75" s="4"/>
      <c r="B75" s="4"/>
      <c r="C75" s="13"/>
      <c r="D75" s="5"/>
      <c r="E75" s="13"/>
      <c r="F75" s="13"/>
      <c r="G75" s="8"/>
      <c r="H75" s="5"/>
      <c r="I75" s="4"/>
    </row>
    <row r="76" spans="1:9" ht="43.5" customHeight="1" thickBot="1" x14ac:dyDescent="0.25">
      <c r="A76" s="4"/>
      <c r="B76" s="4"/>
      <c r="C76" s="13"/>
      <c r="D76" s="5"/>
      <c r="E76" s="13"/>
      <c r="F76" s="13"/>
      <c r="G76" s="8"/>
      <c r="H76" s="5"/>
      <c r="I76" s="4"/>
    </row>
    <row r="77" spans="1:9" ht="43.5" customHeight="1" thickBot="1" x14ac:dyDescent="0.25">
      <c r="A77" s="4"/>
      <c r="B77" s="4"/>
      <c r="C77" s="13"/>
      <c r="D77" s="5"/>
      <c r="E77" s="13"/>
      <c r="F77" s="13"/>
      <c r="G77" s="8"/>
      <c r="H77" s="5"/>
      <c r="I77" s="4"/>
    </row>
    <row r="78" spans="1:9" ht="43.5" customHeight="1" thickBot="1" x14ac:dyDescent="0.25">
      <c r="A78" s="4"/>
      <c r="B78" s="4"/>
      <c r="C78" s="13"/>
      <c r="D78" s="5"/>
      <c r="E78" s="13"/>
      <c r="F78" s="13"/>
      <c r="G78" s="8"/>
      <c r="H78" s="5"/>
      <c r="I78" s="4"/>
    </row>
    <row r="79" spans="1:9" ht="43.5" customHeight="1" thickBot="1" x14ac:dyDescent="0.25">
      <c r="A79" s="4"/>
      <c r="B79" s="4"/>
      <c r="C79" s="13"/>
      <c r="D79" s="5"/>
      <c r="E79" s="13"/>
      <c r="F79" s="13"/>
      <c r="G79" s="8"/>
      <c r="H79" s="5"/>
      <c r="I79" s="4"/>
    </row>
    <row r="80" spans="1:9" ht="43.5" customHeight="1" thickBot="1" x14ac:dyDescent="0.25">
      <c r="A80" s="4"/>
      <c r="B80" s="4"/>
      <c r="C80" s="13"/>
      <c r="D80" s="5"/>
      <c r="E80" s="13"/>
      <c r="F80" s="13"/>
      <c r="G80" s="8"/>
      <c r="H80" s="5"/>
      <c r="I80" s="4"/>
    </row>
    <row r="81" spans="1:9" ht="43.5" customHeight="1" thickBot="1" x14ac:dyDescent="0.25">
      <c r="A81" s="4"/>
      <c r="B81" s="4"/>
      <c r="C81" s="13"/>
      <c r="D81" s="5"/>
      <c r="E81" s="13"/>
      <c r="F81" s="13"/>
      <c r="G81" s="8"/>
      <c r="H81" s="5"/>
      <c r="I81" s="4"/>
    </row>
    <row r="82" spans="1:9" ht="43.5" customHeight="1" thickBot="1" x14ac:dyDescent="0.25">
      <c r="A82" s="4"/>
      <c r="B82" s="4"/>
      <c r="C82" s="13"/>
      <c r="D82" s="5"/>
      <c r="E82" s="13"/>
      <c r="F82" s="13"/>
      <c r="G82" s="8"/>
      <c r="H82" s="5"/>
      <c r="I82" s="4"/>
    </row>
    <row r="83" spans="1:9" ht="43.5" customHeight="1" thickBot="1" x14ac:dyDescent="0.25">
      <c r="A83" s="4"/>
      <c r="B83" s="4"/>
      <c r="C83" s="13"/>
      <c r="D83" s="5"/>
      <c r="E83" s="13"/>
      <c r="F83" s="13"/>
      <c r="G83" s="8"/>
      <c r="H83" s="5"/>
      <c r="I83" s="4"/>
    </row>
    <row r="84" spans="1:9" ht="43.5" customHeight="1" thickBot="1" x14ac:dyDescent="0.25">
      <c r="A84" s="4"/>
      <c r="B84" s="4"/>
      <c r="C84" s="13"/>
      <c r="D84" s="5"/>
      <c r="E84" s="13"/>
      <c r="F84" s="13"/>
      <c r="G84" s="8"/>
      <c r="H84" s="5"/>
      <c r="I84" s="4"/>
    </row>
    <row r="85" spans="1:9" ht="43.5" customHeight="1" thickBot="1" x14ac:dyDescent="0.25">
      <c r="A85" s="4"/>
      <c r="B85" s="4"/>
      <c r="C85" s="13"/>
      <c r="D85" s="5"/>
      <c r="E85" s="13"/>
      <c r="F85" s="13"/>
      <c r="G85" s="8"/>
      <c r="H85" s="5"/>
      <c r="I85" s="4"/>
    </row>
    <row r="86" spans="1:9" ht="43.5" customHeight="1" thickBot="1" x14ac:dyDescent="0.25">
      <c r="A86" s="4"/>
      <c r="B86" s="4"/>
      <c r="C86" s="13"/>
      <c r="D86" s="5"/>
      <c r="E86" s="13"/>
      <c r="F86" s="13"/>
      <c r="G86" s="8"/>
      <c r="H86" s="5"/>
      <c r="I86" s="4"/>
    </row>
    <row r="87" spans="1:9" ht="43.5" customHeight="1" thickBot="1" x14ac:dyDescent="0.25">
      <c r="A87" s="4"/>
      <c r="B87" s="4"/>
      <c r="C87" s="13"/>
      <c r="D87" s="5"/>
      <c r="E87" s="13"/>
      <c r="F87" s="13"/>
      <c r="G87" s="8"/>
      <c r="H87" s="5"/>
      <c r="I87" s="4"/>
    </row>
    <row r="88" spans="1:9" ht="43.5" customHeight="1" thickBot="1" x14ac:dyDescent="0.25">
      <c r="A88" s="4"/>
      <c r="B88" s="4"/>
      <c r="C88" s="13"/>
      <c r="D88" s="5"/>
      <c r="E88" s="13"/>
      <c r="F88" s="13"/>
      <c r="G88" s="8"/>
      <c r="H88" s="5"/>
      <c r="I88" s="4"/>
    </row>
    <row r="89" spans="1:9" ht="43.5" customHeight="1" thickBot="1" x14ac:dyDescent="0.25">
      <c r="A89" s="4"/>
      <c r="B89" s="4"/>
      <c r="C89" s="13"/>
      <c r="D89" s="5"/>
      <c r="E89" s="13"/>
      <c r="F89" s="13"/>
      <c r="G89" s="8"/>
      <c r="H89" s="5"/>
      <c r="I89" s="4"/>
    </row>
    <row r="90" spans="1:9" ht="43.5" customHeight="1" thickBot="1" x14ac:dyDescent="0.25">
      <c r="A90" s="4"/>
      <c r="B90" s="4"/>
      <c r="C90" s="13"/>
      <c r="D90" s="5"/>
      <c r="E90" s="13"/>
      <c r="F90" s="13"/>
      <c r="G90" s="8"/>
      <c r="H90" s="5"/>
      <c r="I90" s="4"/>
    </row>
    <row r="91" spans="1:9" ht="43.5" customHeight="1" thickBot="1" x14ac:dyDescent="0.25">
      <c r="A91" s="4"/>
      <c r="B91" s="4"/>
      <c r="C91" s="13"/>
      <c r="D91" s="5"/>
      <c r="E91" s="13"/>
      <c r="F91" s="13"/>
      <c r="G91" s="8"/>
      <c r="H91" s="5"/>
      <c r="I91" s="4"/>
    </row>
    <row r="92" spans="1:9" ht="43.5" customHeight="1" thickBot="1" x14ac:dyDescent="0.25">
      <c r="A92" s="4"/>
      <c r="B92" s="4"/>
      <c r="C92" s="13"/>
      <c r="D92" s="5"/>
      <c r="E92" s="13"/>
      <c r="F92" s="13"/>
      <c r="G92" s="8"/>
      <c r="H92" s="5"/>
      <c r="I92" s="4"/>
    </row>
    <row r="93" spans="1:9" ht="43.5" customHeight="1" thickBot="1" x14ac:dyDescent="0.25">
      <c r="A93" s="4"/>
      <c r="B93" s="4"/>
      <c r="C93" s="13"/>
      <c r="D93" s="5"/>
      <c r="E93" s="13"/>
      <c r="F93" s="13"/>
      <c r="G93" s="8"/>
      <c r="H93" s="5"/>
      <c r="I93" s="4"/>
    </row>
    <row r="94" spans="1:9" ht="43.5" customHeight="1" thickBot="1" x14ac:dyDescent="0.25">
      <c r="A94" s="4"/>
      <c r="B94" s="4"/>
      <c r="C94" s="13"/>
      <c r="D94" s="5"/>
      <c r="E94" s="13"/>
      <c r="F94" s="13"/>
      <c r="G94" s="8"/>
      <c r="H94" s="5"/>
      <c r="I94" s="4"/>
    </row>
    <row r="95" spans="1:9" ht="43.5" customHeight="1" thickBot="1" x14ac:dyDescent="0.25">
      <c r="A95" s="4"/>
      <c r="B95" s="4"/>
      <c r="C95" s="13"/>
      <c r="D95" s="5"/>
      <c r="E95" s="13"/>
      <c r="F95" s="13"/>
      <c r="G95" s="8"/>
      <c r="H95" s="5"/>
      <c r="I95" s="4"/>
    </row>
    <row r="96" spans="1:9" ht="43.5" customHeight="1" thickBot="1" x14ac:dyDescent="0.25">
      <c r="A96" s="4"/>
      <c r="B96" s="4"/>
      <c r="C96" s="13"/>
      <c r="D96" s="5"/>
      <c r="E96" s="13"/>
      <c r="F96" s="13"/>
      <c r="G96" s="8"/>
      <c r="H96" s="5"/>
      <c r="I96" s="4"/>
    </row>
    <row r="97" spans="1:9" ht="43.5" customHeight="1" thickBot="1" x14ac:dyDescent="0.25">
      <c r="A97" s="4"/>
      <c r="B97" s="4"/>
      <c r="C97" s="13"/>
      <c r="D97" s="5"/>
      <c r="E97" s="13"/>
      <c r="F97" s="13"/>
      <c r="G97" s="8"/>
      <c r="H97" s="5"/>
      <c r="I97" s="4"/>
    </row>
    <row r="98" spans="1:9" ht="43.5" customHeight="1" thickBot="1" x14ac:dyDescent="0.25">
      <c r="A98" s="4"/>
      <c r="B98" s="4"/>
      <c r="C98" s="13"/>
      <c r="D98" s="5"/>
      <c r="E98" s="13"/>
      <c r="F98" s="13"/>
      <c r="G98" s="8"/>
      <c r="H98" s="5"/>
      <c r="I98" s="4"/>
    </row>
    <row r="99" spans="1:9" ht="43.5" customHeight="1" thickBot="1" x14ac:dyDescent="0.25">
      <c r="A99" s="4"/>
      <c r="B99" s="4"/>
      <c r="C99" s="13"/>
      <c r="D99" s="5"/>
      <c r="E99" s="13"/>
      <c r="F99" s="13"/>
      <c r="G99" s="8"/>
      <c r="H99" s="5"/>
      <c r="I99" s="4"/>
    </row>
    <row r="100" spans="1:9" ht="43.5" customHeight="1" thickBot="1" x14ac:dyDescent="0.25">
      <c r="A100" s="4"/>
      <c r="B100" s="4"/>
      <c r="C100" s="13"/>
      <c r="D100" s="5"/>
      <c r="E100" s="13"/>
      <c r="F100" s="13"/>
      <c r="G100" s="8"/>
      <c r="H100" s="5"/>
      <c r="I100" s="4"/>
    </row>
    <row r="101" spans="1:9" ht="43.5" customHeight="1" thickBot="1" x14ac:dyDescent="0.25">
      <c r="A101" s="4"/>
      <c r="B101" s="4"/>
      <c r="C101" s="13"/>
      <c r="D101" s="5"/>
      <c r="E101" s="13"/>
      <c r="F101" s="13"/>
      <c r="G101" s="8"/>
      <c r="H101" s="5"/>
      <c r="I101" s="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I24"/>
  <sheetViews>
    <sheetView topLeftCell="B1" workbookViewId="0">
      <selection activeCell="I2" sqref="I2:I6"/>
    </sheetView>
  </sheetViews>
  <sheetFormatPr baseColWidth="10" defaultColWidth="9.140625" defaultRowHeight="12" x14ac:dyDescent="0.2"/>
  <cols>
    <col min="1" max="2" width="14.7109375" style="6" bestFit="1" customWidth="1"/>
    <col min="3" max="3" width="13.140625" style="3" customWidth="1"/>
    <col min="4" max="4" width="11.5703125" style="6" bestFit="1" customWidth="1"/>
    <col min="5" max="6" width="11.5703125" style="3" customWidth="1"/>
    <col min="7" max="7" width="50.7109375" style="6" customWidth="1"/>
    <col min="8" max="8" width="50.140625" style="6" bestFit="1" customWidth="1"/>
    <col min="9" max="9" width="101" style="6" customWidth="1"/>
    <col min="10" max="16384" width="9.140625" style="6"/>
  </cols>
  <sheetData>
    <row r="1" spans="1:9" s="3" customFormat="1" ht="12.75" thickBot="1" x14ac:dyDescent="0.25">
      <c r="A1" s="1" t="s">
        <v>65</v>
      </c>
      <c r="B1" s="1" t="s">
        <v>0</v>
      </c>
      <c r="C1" s="2" t="s">
        <v>1</v>
      </c>
      <c r="D1" s="2" t="s">
        <v>2</v>
      </c>
      <c r="E1" s="2" t="s">
        <v>11</v>
      </c>
      <c r="F1" s="2" t="s">
        <v>12</v>
      </c>
      <c r="G1" s="2" t="s">
        <v>4</v>
      </c>
      <c r="H1" s="2"/>
      <c r="I1" s="1" t="s">
        <v>5</v>
      </c>
    </row>
    <row r="2" spans="1:9" s="7" customFormat="1" ht="43.5" customHeight="1" thickBot="1" x14ac:dyDescent="0.3">
      <c r="A2" s="4" t="s">
        <v>68</v>
      </c>
      <c r="B2" s="4" t="str">
        <f>IF(MENU!$B$6="","INGRESE SERVIDOR",MENU!$B$6)</f>
        <v>UEIHNE01</v>
      </c>
      <c r="C2" s="13" t="str">
        <f>IF(MENU!$D$6="","",MENU!$D$6)</f>
        <v>SQLEXPRESS</v>
      </c>
      <c r="D2" s="5" t="s">
        <v>30</v>
      </c>
      <c r="E2" s="13" t="str">
        <f>IF(MENU!$C$9="","",MENU!$C$9)</f>
        <v/>
      </c>
      <c r="F2" s="13" t="str">
        <f>IF(MENU!$D$9="","",MENU!$D$9)</f>
        <v/>
      </c>
      <c r="G2" s="8" t="s">
        <v>32</v>
      </c>
      <c r="H2" s="5" t="str">
        <f>IF(C2="",CONCATENATE("@echo Script ",G2, ".sql ejecutado en la Base de datos ", B2,"/",D2),CONCATENATE("@echo Script ",E2, " ejecutado en la Base de datos ", B2,"/",C2,"/",D2))</f>
        <v>@echo Script  ejecutado en la Base de datos UEIHNE01/SQLEXPRESS/master</v>
      </c>
      <c r="I2" s="4" t="str">
        <f>IF(OR(E2="",F2=""),IF(C2="",IF(G2="","",(CONCATENATE("sqlcmd -E -S ",B2," -d ",D2," -i ",MENU!$E$6,A2,"\",G2,".sql -o ",MENU!$B$9,G2, ".txt &amp; ",H2))),IF(G2="","",(CONCATENATE("sqlcmd -E -S ",B2,"\",C2," -d ",D2," -i ",MENU!$E$6,A2,"\",G2,".sql -o ",MENU!$B$9,G2, ".txt &amp; ",H2)))),IF(C2="",IF(G2="","",(CONCATENATE("sqlcmd -S ",B2," -d ",D2," -U ",E2," -P ",F2," -i ",MENU!$E$6,A2,"\",G2,".sql -o ",MENU!$B$9,G2, ".txt &amp; ",H2))),IF(G2="","",(CONCATENATE("sqlcmd -S ",B2,"\",C2," -d ",D2," -U ",E2," -P ",F2," -i ",MENU!$E$6,A2,"\",G2,".sql -o ",MENU!$B$9,G2, ".txt &amp; ",H2)))))</f>
        <v>sqlcmd -E -S UEIHNE01\SQLEXPRESS -d master -i C:\HISMINSA\Scripts\INTEGRACION\HISMINSA_INTEGRACION_000_SCRIPT_CREAR_BASE_DATOS.sql -o C:\HISMINSA\Resultados\HISMINSA_INTEGRACION_000_SCRIPT_CREAR_BASE_DATOS.txt &amp; @echo Script  ejecutado en la Base de datos UEIHNE01/SQLEXPRESS/master</v>
      </c>
    </row>
    <row r="3" spans="1:9" s="7" customFormat="1" ht="43.5" customHeight="1" thickBot="1" x14ac:dyDescent="0.3">
      <c r="A3" s="4" t="s">
        <v>68</v>
      </c>
      <c r="B3" s="4" t="str">
        <f>IF(MENU!$B$6="","INGRESE SERVIDOR",MENU!$B$6)</f>
        <v>UEIHNE01</v>
      </c>
      <c r="C3" s="13" t="str">
        <f>IF(MENU!$D$6="","",MENU!$D$6)</f>
        <v>SQLEXPRESS</v>
      </c>
      <c r="D3" s="5" t="str">
        <f>IF(MENU!$C$6="","INGRESE BASE",MENU!$C$6)</f>
        <v>BDHIS_MINSA</v>
      </c>
      <c r="E3" s="13" t="str">
        <f>IF(MENU!$C$9="","",MENU!$C$9)</f>
        <v/>
      </c>
      <c r="F3" s="13" t="str">
        <f>IF(MENU!$D$9="","",MENU!$D$9)</f>
        <v/>
      </c>
      <c r="G3" s="8" t="s">
        <v>33</v>
      </c>
      <c r="H3" s="5" t="str">
        <f t="shared" ref="H3:H24" si="0">IF(C3="",CONCATENATE("@echo Script ",G3, ".sql ejecutado en la Base de datos ", B3,"/",D3),CONCATENATE("@echo Script ",E3, " ejecutado en la Base de datos ", B3,"/",C3,"/",D3))</f>
        <v>@echo Script  ejecutado en la Base de datos UEIHNE01/SQLEXPRESS/BDHIS_MINSA</v>
      </c>
      <c r="I3" s="4" t="str">
        <f>IF(OR(E3="",F3=""),IF(C3="",IF(G3="","",(CONCATENATE("sqlcmd -E -S ",B3," -d ",D3," -i ",MENU!$E$6,A3,"\",G3,".sql -o ",MENU!$B$9,G3, ".txt &amp; ",H3))),IF(G3="","",(CONCATENATE("sqlcmd -E -S ",B3,"\",C3," -d ",D3," -i ",MENU!$E$6,A3,"\",G3,".sql -o ",MENU!$B$9,G3, ".txt &amp; ",H3)))),IF(C3="",IF(G3="","",(CONCATENATE("sqlcmd -S ",B3," -d ",D3," -U ",E3," -P ",F3," -i ",MENU!$E$6,A3,"\",G3,".sql -o ",MENU!$B$9,G3, ".txt &amp; ",H3))),IF(G3="","",(CONCATENATE("sqlcmd -S ",B3,"\",C3," -d ",D3," -U ",E3," -P ",F3," -i ",MENU!$E$6,A3,"\",G3,".sql -o ",MENU!$B$9,G3, ".txt &amp; ",H3)))))</f>
        <v>sqlcmd -E -S UEIHNE01\SQLEXPRESS -d BDHIS_MINSA -i C:\HISMINSA\Scripts\INTEGRACION\HISMINSA_INTEGRACION_001_SCRIPT_CREACION_TABLAS.sql -o C:\HISMINSA\Resultados\HISMINSA_INTEGRACION_001_SCRIPT_CREACION_TABLAS.txt &amp; @echo Script  ejecutado en la Base de datos UEIHNE01/SQLEXPRESS/BDHIS_MINSA</v>
      </c>
    </row>
    <row r="4" spans="1:9" ht="43.5" customHeight="1" thickBot="1" x14ac:dyDescent="0.25">
      <c r="A4" s="4" t="s">
        <v>68</v>
      </c>
      <c r="B4" s="4" t="str">
        <f>IF(MENU!$B$6="","INGRESE SERVIDOR",MENU!$B$6)</f>
        <v>UEIHNE01</v>
      </c>
      <c r="C4" s="13" t="str">
        <f>IF(MENU!$D$6="","",MENU!$D$6)</f>
        <v>SQLEXPRESS</v>
      </c>
      <c r="D4" s="5" t="str">
        <f>IF(MENU!$C$6="","INGRESE BASE",MENU!$C$6)</f>
        <v>BDHIS_MINSA</v>
      </c>
      <c r="E4" s="13" t="str">
        <f>IF(MENU!$C$9="","",MENU!$C$9)</f>
        <v/>
      </c>
      <c r="F4" s="13" t="str">
        <f>IF(MENU!$D$9="","",MENU!$D$9)</f>
        <v/>
      </c>
      <c r="G4" s="8" t="s">
        <v>71</v>
      </c>
      <c r="H4" s="5" t="str">
        <f t="shared" si="0"/>
        <v>@echo Script  ejecutado en la Base de datos UEIHNE01/SQLEXPRESS/BDHIS_MINSA</v>
      </c>
      <c r="I4" s="4" t="str">
        <f>IF(OR(E4="",F4=""),IF(C4="",IF(G4="","",(CONCATENATE("sqlcmd -E -S ",B4," -d ",D4," -i ",MENU!$E$6,A4,"\",G4,".sql -o ",MENU!$B$9,G4, ".txt &amp; ",H4))),IF(G4="","",(CONCATENATE("sqlcmd -E -S ",B4,"\",C4," -d ",D4," -i ",MENU!$E$6,A4,"\",G4,".sql -o ",MENU!$B$9,G4, ".txt &amp; ",H4)))),IF(C4="",IF(G4="","",(CONCATENATE("sqlcmd -S ",B4," -d ",D4," -U ",E4," -P ",F4," -i ",MENU!$E$6,A4,"\",G4,".sql -o ",MENU!$B$9,G4, ".txt &amp; ",H4))),IF(G4="","",(CONCATENATE("sqlcmd -S ",B4,"\",C4," -d ",D4," -U ",E4," -P ",F4," -i ",MENU!$E$6,A4,"\",G4,".sql -o ",MENU!$B$9,G4, ".txt &amp; ",H4)))))</f>
        <v>sqlcmd -E -S UEIHNE01\SQLEXPRESS -d BDHIS_MINSA -i C:\HISMINSA\Scripts\INTEGRACION\USP_INTEGRACION_UPD_DEPURA.sql -o C:\HISMINSA\Resultados\USP_INTEGRACION_UPD_DEPURA.txt &amp; @echo Script  ejecutado en la Base de datos UEIHNE01/SQLEXPRESS/BDHIS_MINSA</v>
      </c>
    </row>
    <row r="5" spans="1:9" ht="43.5" customHeight="1" thickBot="1" x14ac:dyDescent="0.25">
      <c r="A5" s="4" t="s">
        <v>68</v>
      </c>
      <c r="B5" s="4" t="str">
        <f>IF(MENU!$B$6="","INGRESE SERVIDOR",MENU!$B$6)</f>
        <v>UEIHNE01</v>
      </c>
      <c r="C5" s="13" t="str">
        <f>IF(MENU!$D$6="","",MENU!$D$6)</f>
        <v>SQLEXPRESS</v>
      </c>
      <c r="D5" s="5" t="str">
        <f>IF(MENU!$C$6="","INGRESE BASE",MENU!$C$6)</f>
        <v>BDHIS_MINSA</v>
      </c>
      <c r="E5" s="13" t="str">
        <f>IF(MENU!$C$9="","",MENU!$C$9)</f>
        <v/>
      </c>
      <c r="F5" s="13" t="str">
        <f>IF(MENU!$D$9="","",MENU!$D$9)</f>
        <v/>
      </c>
      <c r="G5" s="8" t="s">
        <v>75</v>
      </c>
      <c r="H5" s="5" t="str">
        <f t="shared" si="0"/>
        <v>@echo Script  ejecutado en la Base de datos UEIHNE01/SQLEXPRESS/BDHIS_MINSA</v>
      </c>
      <c r="I5" s="4" t="str">
        <f>IF(OR(E5="",F5=""),IF(C5="",IF(G5="","",(CONCATENATE("sqlcmd -E -S ",B5," -d ",D5," -i ",MENU!$E$6,A5,"\",G5,".sql -o ",MENU!$B$9,G5, ".txt &amp; ",H5))),IF(G5="","",(CONCATENATE("sqlcmd -E -S ",B5,"\",C5," -d ",D5," -i ",MENU!$E$6,A5,"\",G5,".sql -o ",MENU!$B$9,G5, ".txt &amp; ",H5)))),IF(C5="",IF(G5="","",(CONCATENATE("sqlcmd -S ",B5," -d ",D5," -U ",E5," -P ",F5," -i ",MENU!$E$6,A5,"\",G5,".sql -o ",MENU!$B$9,G5, ".txt &amp; ",H5))),IF(G5="","",(CONCATENATE("sqlcmd -S ",B5,"\",C5," -d ",D5," -U ",E5," -P ",F5," -i ",MENU!$E$6,A5,"\",G5,".sql -o ",MENU!$B$9,G5, ".txt &amp; ",H5)))))</f>
        <v>sqlcmd -E -S UEIHNE01\SQLEXPRESS -d BDHIS_MINSA -i C:\HISMINSA\Scripts\INTEGRACION\fn_calcEdad_Fecha.sql -o C:\HISMINSA\Resultados\fn_calcEdad_Fecha.txt &amp; @echo Script  ejecutado en la Base de datos UEIHNE01/SQLEXPRESS/BDHIS_MINSA</v>
      </c>
    </row>
    <row r="6" spans="1:9" ht="43.5" customHeight="1" thickBot="1" x14ac:dyDescent="0.25">
      <c r="A6" s="4" t="s">
        <v>68</v>
      </c>
      <c r="B6" s="4" t="str">
        <f>IF(MENU!$B$6="","INGRESE SERVIDOR",MENU!$B$6)</f>
        <v>UEIHNE01</v>
      </c>
      <c r="C6" s="13" t="str">
        <f>IF(MENU!$D$6="","",MENU!$D$6)</f>
        <v>SQLEXPRESS</v>
      </c>
      <c r="D6" s="5" t="str">
        <f>IF(MENU!$C$6="","INGRESE BASE",MENU!$C$6)</f>
        <v>BDHIS_MINSA</v>
      </c>
      <c r="E6" s="13" t="str">
        <f>IF(MENU!$C$9="","",MENU!$C$9)</f>
        <v/>
      </c>
      <c r="F6" s="13" t="str">
        <f>IF(MENU!$D$9="","",MENU!$D$9)</f>
        <v/>
      </c>
      <c r="G6" s="8" t="s">
        <v>70</v>
      </c>
      <c r="H6" s="5" t="str">
        <f t="shared" si="0"/>
        <v>@echo Script  ejecutado en la Base de datos UEIHNE01/SQLEXPRESS/BDHIS_MINSA</v>
      </c>
      <c r="I6" s="4" t="str">
        <f>IF(OR(E6="",F6=""),IF(C6="",IF(G6="","",(CONCATENATE("sqlcmd -E -S ",B6," -d ",D6," -i ",MENU!$E$6,A6,"\",G6,".sql -o ",MENU!$B$9,G6, ".txt &amp; ",H6))),IF(G6="","",(CONCATENATE("sqlcmd -E -S ",B6,"\",C6," -d ",D6," -i ",MENU!$E$6,A6,"\",G6,".sql -o ",MENU!$B$9,G6, ".txt &amp; ",H6)))),IF(C6="",IF(G6="","",(CONCATENATE("sqlcmd -S ",B6," -d ",D6," -U ",E6," -P ",F6," -i ",MENU!$E$6,A6,"\",G6,".sql -o ",MENU!$B$9,G6, ".txt &amp; ",H6))),IF(G6="","",(CONCATENATE("sqlcmd -S ",B6,"\",C6," -d ",D6," -U ",E6," -P ",F6," -i ",MENU!$E$6,A6,"\",G6,".sql -o ",MENU!$B$9,G6, ".txt &amp; ",H6)))))</f>
        <v>sqlcmd -E -S UEIHNE01\SQLEXPRESS -d BDHIS_MINSA -i C:\HISMINSA\Scripts\INTEGRACION\USP_INTEGRACION_generarJsonIntegracion.sql -o C:\HISMINSA\Resultados\USP_INTEGRACION_generarJsonIntegracion.txt &amp; @echo Script  ejecutado en la Base de datos UEIHNE01/SQLEXPRESS/BDHIS_MINSA</v>
      </c>
    </row>
    <row r="7" spans="1:9" ht="43.5" customHeight="1" thickBot="1" x14ac:dyDescent="0.25">
      <c r="A7" s="4" t="s">
        <v>68</v>
      </c>
      <c r="B7" s="4" t="str">
        <f>IF(MENU!$B$6="","INGRESE SERVIDOR",MENU!$B$6)</f>
        <v>UEIHNE01</v>
      </c>
      <c r="C7" s="13" t="str">
        <f>IF(MENU!$D$6="","",MENU!$D$6)</f>
        <v>SQLEXPRESS</v>
      </c>
      <c r="D7" s="5" t="str">
        <f>IF(MENU!$C$6="","INGRESE BASE",MENU!$C$6)</f>
        <v>BDHIS_MINSA</v>
      </c>
      <c r="E7" s="13" t="str">
        <f>IF(MENU!$C$9="","",MENU!$C$9)</f>
        <v/>
      </c>
      <c r="F7" s="13" t="str">
        <f>IF(MENU!$D$9="","",MENU!$D$9)</f>
        <v/>
      </c>
      <c r="G7" s="8"/>
      <c r="H7" s="5" t="str">
        <f t="shared" si="0"/>
        <v>@echo Script  ejecutado en la Base de datos UEIHNE01/SQLEXPRESS/BDHIS_MINSA</v>
      </c>
      <c r="I7" s="4"/>
    </row>
    <row r="8" spans="1:9" ht="43.5" customHeight="1" thickBot="1" x14ac:dyDescent="0.25">
      <c r="A8" s="4" t="s">
        <v>68</v>
      </c>
      <c r="B8" s="4" t="str">
        <f>IF(MENU!$B$6="","INGRESE SERVIDOR",MENU!$B$6)</f>
        <v>UEIHNE01</v>
      </c>
      <c r="C8" s="13" t="str">
        <f>IF(MENU!$D$6="","",MENU!$D$6)</f>
        <v>SQLEXPRESS</v>
      </c>
      <c r="D8" s="5" t="str">
        <f>IF(MENU!$C$6="","INGRESE BASE",MENU!$C$6)</f>
        <v>BDHIS_MINSA</v>
      </c>
      <c r="E8" s="13" t="str">
        <f>IF(MENU!$C$9="","",MENU!$C$9)</f>
        <v/>
      </c>
      <c r="F8" s="13" t="str">
        <f>IF(MENU!$D$9="","",MENU!$D$9)</f>
        <v/>
      </c>
      <c r="G8" s="8"/>
      <c r="H8" s="5" t="str">
        <f t="shared" si="0"/>
        <v>@echo Script  ejecutado en la Base de datos UEIHNE01/SQLEXPRESS/BDHIS_MINSA</v>
      </c>
      <c r="I8" s="4"/>
    </row>
    <row r="9" spans="1:9" ht="43.5" customHeight="1" thickBot="1" x14ac:dyDescent="0.25">
      <c r="A9" s="4" t="s">
        <v>68</v>
      </c>
      <c r="B9" s="4" t="str">
        <f>IF(MENU!$B$6="","INGRESE SERVIDOR",MENU!$B$6)</f>
        <v>UEIHNE01</v>
      </c>
      <c r="C9" s="13" t="str">
        <f>IF(MENU!$D$6="","",MENU!$D$6)</f>
        <v>SQLEXPRESS</v>
      </c>
      <c r="D9" s="5" t="str">
        <f>IF(MENU!$C$6="","INGRESE BASE",MENU!$C$6)</f>
        <v>BDHIS_MINSA</v>
      </c>
      <c r="E9" s="13" t="str">
        <f>IF(MENU!$C$9="","",MENU!$C$9)</f>
        <v/>
      </c>
      <c r="F9" s="13" t="str">
        <f>IF(MENU!$D$9="","",MENU!$D$9)</f>
        <v/>
      </c>
      <c r="G9" s="8"/>
      <c r="H9" s="5" t="str">
        <f t="shared" si="0"/>
        <v>@echo Script  ejecutado en la Base de datos UEIHNE01/SQLEXPRESS/BDHIS_MINSA</v>
      </c>
      <c r="I9" s="4"/>
    </row>
    <row r="10" spans="1:9" ht="43.5" customHeight="1" thickBot="1" x14ac:dyDescent="0.25">
      <c r="A10" s="4" t="s">
        <v>68</v>
      </c>
      <c r="B10" s="4" t="str">
        <f>IF(MENU!$B$6="","INGRESE SERVIDOR",MENU!$B$6)</f>
        <v>UEIHNE01</v>
      </c>
      <c r="C10" s="13" t="str">
        <f>IF(MENU!$D$6="","",MENU!$D$6)</f>
        <v>SQLEXPRESS</v>
      </c>
      <c r="D10" s="5" t="str">
        <f>IF(MENU!$C$6="","INGRESE BASE",MENU!$C$6)</f>
        <v>BDHIS_MINSA</v>
      </c>
      <c r="E10" s="13" t="str">
        <f>IF(MENU!$C$9="","",MENU!$C$9)</f>
        <v/>
      </c>
      <c r="F10" s="13" t="str">
        <f>IF(MENU!$D$9="","",MENU!$D$9)</f>
        <v/>
      </c>
      <c r="G10" s="8"/>
      <c r="H10" s="5" t="str">
        <f t="shared" si="0"/>
        <v>@echo Script  ejecutado en la Base de datos UEIHNE01/SQLEXPRESS/BDHIS_MINSA</v>
      </c>
      <c r="I10" s="4"/>
    </row>
    <row r="11" spans="1:9" ht="43.5" customHeight="1" thickBot="1" x14ac:dyDescent="0.25">
      <c r="A11" s="4" t="s">
        <v>68</v>
      </c>
      <c r="B11" s="4" t="str">
        <f>IF(MENU!$B$6="","INGRESE SERVIDOR",MENU!$B$6)</f>
        <v>UEIHNE01</v>
      </c>
      <c r="C11" s="13" t="str">
        <f>IF(MENU!$D$6="","",MENU!$D$6)</f>
        <v>SQLEXPRESS</v>
      </c>
      <c r="D11" s="5" t="str">
        <f>IF(MENU!$C$6="","INGRESE BASE",MENU!$C$6)</f>
        <v>BDHIS_MINSA</v>
      </c>
      <c r="E11" s="13" t="str">
        <f>IF(MENU!$C$9="","",MENU!$C$9)</f>
        <v/>
      </c>
      <c r="F11" s="13" t="str">
        <f>IF(MENU!$D$9="","",MENU!$D$9)</f>
        <v/>
      </c>
      <c r="G11" s="8"/>
      <c r="H11" s="5" t="str">
        <f t="shared" si="0"/>
        <v>@echo Script  ejecutado en la Base de datos UEIHNE01/SQLEXPRESS/BDHIS_MINSA</v>
      </c>
      <c r="I11" s="4"/>
    </row>
    <row r="12" spans="1:9" ht="43.5" customHeight="1" thickBot="1" x14ac:dyDescent="0.25">
      <c r="A12" s="4" t="s">
        <v>68</v>
      </c>
      <c r="B12" s="4" t="str">
        <f>IF(MENU!$B$6="","INGRESE SERVIDOR",MENU!$B$6)</f>
        <v>UEIHNE01</v>
      </c>
      <c r="C12" s="13" t="str">
        <f>IF(MENU!$D$6="","",MENU!$D$6)</f>
        <v>SQLEXPRESS</v>
      </c>
      <c r="D12" s="5" t="str">
        <f>IF(MENU!$C$6="","INGRESE BASE",MENU!$C$6)</f>
        <v>BDHIS_MINSA</v>
      </c>
      <c r="E12" s="13" t="str">
        <f>IF(MENU!$C$9="","",MENU!$C$9)</f>
        <v/>
      </c>
      <c r="F12" s="13" t="str">
        <f>IF(MENU!$D$9="","",MENU!$D$9)</f>
        <v/>
      </c>
      <c r="G12" s="8"/>
      <c r="H12" s="5" t="str">
        <f t="shared" si="0"/>
        <v>@echo Script  ejecutado en la Base de datos UEIHNE01/SQLEXPRESS/BDHIS_MINSA</v>
      </c>
      <c r="I12" s="4"/>
    </row>
    <row r="13" spans="1:9" ht="43.5" customHeight="1" thickBot="1" x14ac:dyDescent="0.25">
      <c r="A13" s="4" t="s">
        <v>68</v>
      </c>
      <c r="B13" s="4" t="str">
        <f>IF(MENU!$B$6="","INGRESE SERVIDOR",MENU!$B$6)</f>
        <v>UEIHNE01</v>
      </c>
      <c r="C13" s="13" t="str">
        <f>IF(MENU!$D$6="","",MENU!$D$6)</f>
        <v>SQLEXPRESS</v>
      </c>
      <c r="D13" s="5" t="str">
        <f>IF(MENU!$C$6="","INGRESE BASE",MENU!$C$6)</f>
        <v>BDHIS_MINSA</v>
      </c>
      <c r="E13" s="13" t="str">
        <f>IF(MENU!$C$9="","",MENU!$C$9)</f>
        <v/>
      </c>
      <c r="F13" s="13" t="str">
        <f>IF(MENU!$D$9="","",MENU!$D$9)</f>
        <v/>
      </c>
      <c r="G13" s="8"/>
      <c r="H13" s="5" t="str">
        <f t="shared" si="0"/>
        <v>@echo Script  ejecutado en la Base de datos UEIHNE01/SQLEXPRESS/BDHIS_MINSA</v>
      </c>
      <c r="I13" s="4"/>
    </row>
    <row r="14" spans="1:9" ht="43.5" customHeight="1" thickBot="1" x14ac:dyDescent="0.25">
      <c r="A14" s="4" t="s">
        <v>68</v>
      </c>
      <c r="B14" s="4" t="str">
        <f>IF(MENU!$B$6="","INGRESE SERVIDOR",MENU!$B$6)</f>
        <v>UEIHNE01</v>
      </c>
      <c r="C14" s="13" t="str">
        <f>IF(MENU!$D$6="","",MENU!$D$6)</f>
        <v>SQLEXPRESS</v>
      </c>
      <c r="D14" s="5" t="str">
        <f>IF(MENU!$C$6="","INGRESE BASE",MENU!$C$6)</f>
        <v>BDHIS_MINSA</v>
      </c>
      <c r="E14" s="13" t="str">
        <f>IF(MENU!$C$9="","",MENU!$C$9)</f>
        <v/>
      </c>
      <c r="F14" s="13" t="str">
        <f>IF(MENU!$D$9="","",MENU!$D$9)</f>
        <v/>
      </c>
      <c r="G14" s="8"/>
      <c r="H14" s="5" t="str">
        <f t="shared" si="0"/>
        <v>@echo Script  ejecutado en la Base de datos UEIHNE01/SQLEXPRESS/BDHIS_MINSA</v>
      </c>
      <c r="I14" s="4"/>
    </row>
    <row r="15" spans="1:9" ht="43.5" customHeight="1" thickBot="1" x14ac:dyDescent="0.25">
      <c r="A15" s="4" t="s">
        <v>68</v>
      </c>
      <c r="B15" s="4" t="str">
        <f>IF(MENU!$B$6="","INGRESE SERVIDOR",MENU!$B$6)</f>
        <v>UEIHNE01</v>
      </c>
      <c r="C15" s="13" t="str">
        <f>IF(MENU!$D$6="","",MENU!$D$6)</f>
        <v>SQLEXPRESS</v>
      </c>
      <c r="D15" s="5" t="str">
        <f>IF(MENU!$C$6="","INGRESE BASE",MENU!$C$6)</f>
        <v>BDHIS_MINSA</v>
      </c>
      <c r="E15" s="13" t="str">
        <f>IF(MENU!$C$9="","",MENU!$C$9)</f>
        <v/>
      </c>
      <c r="F15" s="13" t="str">
        <f>IF(MENU!$D$9="","",MENU!$D$9)</f>
        <v/>
      </c>
      <c r="G15" s="8"/>
      <c r="H15" s="5" t="str">
        <f t="shared" si="0"/>
        <v>@echo Script  ejecutado en la Base de datos UEIHNE01/SQLEXPRESS/BDHIS_MINSA</v>
      </c>
      <c r="I15" s="4"/>
    </row>
    <row r="16" spans="1:9" ht="43.5" customHeight="1" thickBot="1" x14ac:dyDescent="0.25">
      <c r="A16" s="4" t="s">
        <v>68</v>
      </c>
      <c r="B16" s="4" t="str">
        <f>IF(MENU!$B$6="","INGRESE SERVIDOR",MENU!$B$6)</f>
        <v>UEIHNE01</v>
      </c>
      <c r="C16" s="13" t="str">
        <f>IF(MENU!$D$6="","",MENU!$D$6)</f>
        <v>SQLEXPRESS</v>
      </c>
      <c r="D16" s="5" t="str">
        <f>IF(MENU!$C$6="","INGRESE BASE",MENU!$C$6)</f>
        <v>BDHIS_MINSA</v>
      </c>
      <c r="E16" s="13" t="str">
        <f>IF(MENU!$C$9="","",MENU!$C$9)</f>
        <v/>
      </c>
      <c r="F16" s="13" t="str">
        <f>IF(MENU!$D$9="","",MENU!$D$9)</f>
        <v/>
      </c>
      <c r="G16" s="8"/>
      <c r="H16" s="5" t="str">
        <f t="shared" si="0"/>
        <v>@echo Script  ejecutado en la Base de datos UEIHNE01/SQLEXPRESS/BDHIS_MINSA</v>
      </c>
      <c r="I16" s="4"/>
    </row>
    <row r="17" spans="1:9" ht="43.5" customHeight="1" thickBot="1" x14ac:dyDescent="0.25">
      <c r="A17" s="4" t="s">
        <v>68</v>
      </c>
      <c r="B17" s="4" t="str">
        <f>IF(MENU!$B$6="","INGRESE SERVIDOR",MENU!$B$6)</f>
        <v>UEIHNE01</v>
      </c>
      <c r="C17" s="13" t="str">
        <f>IF(MENU!$D$6="","",MENU!$D$6)</f>
        <v>SQLEXPRESS</v>
      </c>
      <c r="D17" s="5" t="str">
        <f>IF(MENU!$C$6="","INGRESE BASE",MENU!$C$6)</f>
        <v>BDHIS_MINSA</v>
      </c>
      <c r="E17" s="13" t="str">
        <f>IF(MENU!$C$9="","",MENU!$C$9)</f>
        <v/>
      </c>
      <c r="F17" s="13" t="str">
        <f>IF(MENU!$D$9="","",MENU!$D$9)</f>
        <v/>
      </c>
      <c r="G17" s="8"/>
      <c r="H17" s="5" t="str">
        <f t="shared" si="0"/>
        <v>@echo Script  ejecutado en la Base de datos UEIHNE01/SQLEXPRESS/BDHIS_MINSA</v>
      </c>
      <c r="I17" s="4"/>
    </row>
    <row r="18" spans="1:9" ht="43.5" customHeight="1" thickBot="1" x14ac:dyDescent="0.25">
      <c r="A18" s="4" t="s">
        <v>68</v>
      </c>
      <c r="B18" s="4" t="str">
        <f>IF(MENU!$B$6="","INGRESE SERVIDOR",MENU!$B$6)</f>
        <v>UEIHNE01</v>
      </c>
      <c r="C18" s="13" t="str">
        <f>IF(MENU!$D$6="","",MENU!$D$6)</f>
        <v>SQLEXPRESS</v>
      </c>
      <c r="D18" s="5" t="str">
        <f>IF(MENU!$C$6="","INGRESE BASE",MENU!$C$6)</f>
        <v>BDHIS_MINSA</v>
      </c>
      <c r="E18" s="13" t="str">
        <f>IF(MENU!$C$9="","",MENU!$C$9)</f>
        <v/>
      </c>
      <c r="F18" s="13" t="str">
        <f>IF(MENU!$D$9="","",MENU!$D$9)</f>
        <v/>
      </c>
      <c r="G18" s="8"/>
      <c r="H18" s="5" t="str">
        <f t="shared" si="0"/>
        <v>@echo Script  ejecutado en la Base de datos UEIHNE01/SQLEXPRESS/BDHIS_MINSA</v>
      </c>
      <c r="I18" s="4"/>
    </row>
    <row r="19" spans="1:9" ht="43.5" customHeight="1" thickBot="1" x14ac:dyDescent="0.25">
      <c r="A19" s="4" t="s">
        <v>68</v>
      </c>
      <c r="B19" s="4" t="str">
        <f>IF(MENU!$B$6="","INGRESE SERVIDOR",MENU!$B$6)</f>
        <v>UEIHNE01</v>
      </c>
      <c r="C19" s="13" t="str">
        <f>IF(MENU!$D$6="","",MENU!$D$6)</f>
        <v>SQLEXPRESS</v>
      </c>
      <c r="D19" s="5" t="str">
        <f>IF(MENU!$C$6="","INGRESE BASE",MENU!$C$6)</f>
        <v>BDHIS_MINSA</v>
      </c>
      <c r="E19" s="13" t="str">
        <f>IF(MENU!$C$9="","",MENU!$C$9)</f>
        <v/>
      </c>
      <c r="F19" s="13" t="str">
        <f>IF(MENU!$D$9="","",MENU!$D$9)</f>
        <v/>
      </c>
      <c r="G19" s="8"/>
      <c r="H19" s="5" t="str">
        <f t="shared" si="0"/>
        <v>@echo Script  ejecutado en la Base de datos UEIHNE01/SQLEXPRESS/BDHIS_MINSA</v>
      </c>
      <c r="I19" s="4"/>
    </row>
    <row r="20" spans="1:9" ht="43.5" customHeight="1" thickBot="1" x14ac:dyDescent="0.25">
      <c r="A20" s="4" t="s">
        <v>68</v>
      </c>
      <c r="B20" s="4" t="str">
        <f>IF(MENU!$B$6="","INGRESE SERVIDOR",MENU!$B$6)</f>
        <v>UEIHNE01</v>
      </c>
      <c r="C20" s="13" t="str">
        <f>IF(MENU!$D$6="","",MENU!$D$6)</f>
        <v>SQLEXPRESS</v>
      </c>
      <c r="D20" s="5" t="str">
        <f>IF(MENU!$C$6="","INGRESE BASE",MENU!$C$6)</f>
        <v>BDHIS_MINSA</v>
      </c>
      <c r="E20" s="13" t="str">
        <f>IF(MENU!$C$9="","",MENU!$C$9)</f>
        <v/>
      </c>
      <c r="F20" s="13" t="str">
        <f>IF(MENU!$D$9="","",MENU!$D$9)</f>
        <v/>
      </c>
      <c r="G20" s="8"/>
      <c r="H20" s="5" t="str">
        <f t="shared" si="0"/>
        <v>@echo Script  ejecutado en la Base de datos UEIHNE01/SQLEXPRESS/BDHIS_MINSA</v>
      </c>
      <c r="I20" s="4"/>
    </row>
    <row r="21" spans="1:9" ht="43.5" customHeight="1" thickBot="1" x14ac:dyDescent="0.25">
      <c r="A21" s="4" t="s">
        <v>68</v>
      </c>
      <c r="B21" s="4" t="str">
        <f>IF(MENU!$B$6="","INGRESE SERVIDOR",MENU!$B$6)</f>
        <v>UEIHNE01</v>
      </c>
      <c r="C21" s="13" t="str">
        <f>IF(MENU!$D$6="","",MENU!$D$6)</f>
        <v>SQLEXPRESS</v>
      </c>
      <c r="D21" s="5" t="str">
        <f>IF(MENU!$C$6="","INGRESE BASE",MENU!$C$6)</f>
        <v>BDHIS_MINSA</v>
      </c>
      <c r="E21" s="13" t="str">
        <f>IF(MENU!$C$9="","",MENU!$C$9)</f>
        <v/>
      </c>
      <c r="F21" s="13" t="str">
        <f>IF(MENU!$D$9="","",MENU!$D$9)</f>
        <v/>
      </c>
      <c r="G21" s="8"/>
      <c r="H21" s="5" t="str">
        <f t="shared" si="0"/>
        <v>@echo Script  ejecutado en la Base de datos UEIHNE01/SQLEXPRESS/BDHIS_MINSA</v>
      </c>
      <c r="I21" s="4"/>
    </row>
    <row r="22" spans="1:9" ht="43.5" customHeight="1" thickBot="1" x14ac:dyDescent="0.25">
      <c r="A22" s="4" t="s">
        <v>68</v>
      </c>
      <c r="B22" s="4" t="str">
        <f>IF(MENU!$B$6="","INGRESE SERVIDOR",MENU!$B$6)</f>
        <v>UEIHNE01</v>
      </c>
      <c r="C22" s="13" t="str">
        <f>IF(MENU!$D$6="","",MENU!$D$6)</f>
        <v>SQLEXPRESS</v>
      </c>
      <c r="D22" s="5" t="str">
        <f>IF(MENU!$C$6="","INGRESE BASE",MENU!$C$6)</f>
        <v>BDHIS_MINSA</v>
      </c>
      <c r="E22" s="13" t="str">
        <f>IF(MENU!$C$9="","",MENU!$C$9)</f>
        <v/>
      </c>
      <c r="F22" s="13" t="str">
        <f>IF(MENU!$D$9="","",MENU!$D$9)</f>
        <v/>
      </c>
      <c r="G22" s="8"/>
      <c r="H22" s="5" t="str">
        <f t="shared" si="0"/>
        <v>@echo Script  ejecutado en la Base de datos UEIHNE01/SQLEXPRESS/BDHIS_MINSA</v>
      </c>
      <c r="I22" s="4"/>
    </row>
    <row r="23" spans="1:9" ht="43.5" customHeight="1" thickBot="1" x14ac:dyDescent="0.25">
      <c r="A23" s="4" t="s">
        <v>68</v>
      </c>
      <c r="B23" s="4" t="str">
        <f>IF(MENU!$B$6="","INGRESE SERVIDOR",MENU!$B$6)</f>
        <v>UEIHNE01</v>
      </c>
      <c r="C23" s="13" t="str">
        <f>IF(MENU!$D$6="","",MENU!$D$6)</f>
        <v>SQLEXPRESS</v>
      </c>
      <c r="D23" s="5" t="str">
        <f>IF(MENU!$C$6="","INGRESE BASE",MENU!$C$6)</f>
        <v>BDHIS_MINSA</v>
      </c>
      <c r="E23" s="13" t="str">
        <f>IF(MENU!$C$9="","",MENU!$C$9)</f>
        <v/>
      </c>
      <c r="F23" s="13" t="str">
        <f>IF(MENU!$D$9="","",MENU!$D$9)</f>
        <v/>
      </c>
      <c r="G23" s="8"/>
      <c r="H23" s="5" t="str">
        <f t="shared" si="0"/>
        <v>@echo Script  ejecutado en la Base de datos UEIHNE01/SQLEXPRESS/BDHIS_MINSA</v>
      </c>
      <c r="I23" s="4"/>
    </row>
    <row r="24" spans="1:9" ht="43.5" customHeight="1" thickBot="1" x14ac:dyDescent="0.25">
      <c r="A24" s="4" t="s">
        <v>68</v>
      </c>
      <c r="B24" s="4" t="str">
        <f>IF(MENU!$B$6="","INGRESE SERVIDOR",MENU!$B$6)</f>
        <v>UEIHNE01</v>
      </c>
      <c r="C24" s="13" t="str">
        <f>IF(MENU!$D$6="","",MENU!$D$6)</f>
        <v>SQLEXPRESS</v>
      </c>
      <c r="D24" s="5" t="str">
        <f>IF(MENU!$C$6="","INGRESE BASE",MENU!$C$6)</f>
        <v>BDHIS_MINSA</v>
      </c>
      <c r="E24" s="13" t="str">
        <f>IF(MENU!$C$9="","",MENU!$C$9)</f>
        <v/>
      </c>
      <c r="F24" s="13" t="str">
        <f>IF(MENU!$D$9="","",MENU!$D$9)</f>
        <v/>
      </c>
      <c r="G24" s="8"/>
      <c r="H24" s="5" t="str">
        <f t="shared" si="0"/>
        <v>@echo Script  ejecutado en la Base de datos UEIHNE01/SQLEXPRESS/BDHIS_MINSA</v>
      </c>
      <c r="I24" s="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I48"/>
  <sheetViews>
    <sheetView workbookViewId="0">
      <selection activeCell="I2" sqref="I2:I42"/>
    </sheetView>
  </sheetViews>
  <sheetFormatPr baseColWidth="10" defaultColWidth="9.140625" defaultRowHeight="12" x14ac:dyDescent="0.2"/>
  <cols>
    <col min="1" max="2" width="14.7109375" style="6" bestFit="1" customWidth="1"/>
    <col min="3" max="3" width="13.140625" style="3" customWidth="1"/>
    <col min="4" max="4" width="11.5703125" style="6" bestFit="1" customWidth="1"/>
    <col min="5" max="6" width="11.5703125" style="3" customWidth="1"/>
    <col min="7" max="7" width="39" style="6" customWidth="1"/>
    <col min="8" max="8" width="47.7109375" style="6" customWidth="1"/>
    <col min="9" max="9" width="101" style="6" customWidth="1"/>
    <col min="10" max="16384" width="9.140625" style="6"/>
  </cols>
  <sheetData>
    <row r="1" spans="1:9" s="3" customFormat="1" ht="12.75" thickBot="1" x14ac:dyDescent="0.25">
      <c r="A1" s="1" t="s">
        <v>65</v>
      </c>
      <c r="B1" s="1" t="s">
        <v>0</v>
      </c>
      <c r="C1" s="2" t="s">
        <v>1</v>
      </c>
      <c r="D1" s="2" t="s">
        <v>2</v>
      </c>
      <c r="E1" s="2" t="s">
        <v>11</v>
      </c>
      <c r="F1" s="2" t="s">
        <v>12</v>
      </c>
      <c r="G1" s="2" t="s">
        <v>4</v>
      </c>
      <c r="H1" s="2"/>
      <c r="I1" s="1" t="s">
        <v>5</v>
      </c>
    </row>
    <row r="2" spans="1:9" ht="43.5" customHeight="1" thickBot="1" x14ac:dyDescent="0.25">
      <c r="A2" s="4" t="s">
        <v>78</v>
      </c>
      <c r="B2" s="4" t="str">
        <f>IF(MENU!$B$6="","INGRESE SERVIDOR",MENU!$B$6)</f>
        <v>UEIHNE01</v>
      </c>
      <c r="C2" s="13" t="str">
        <f>IF(MENU!$D$6="","",MENU!$D$6)</f>
        <v>SQLEXPRESS</v>
      </c>
      <c r="D2" s="5" t="str">
        <f>IF(MENU!$C$6="","INGRESE BASE",MENU!$C$6)</f>
        <v>BDHIS_MINSA</v>
      </c>
      <c r="E2" s="13" t="str">
        <f>IF(MENU!$C$9="","",MENU!$C$9)</f>
        <v/>
      </c>
      <c r="F2" s="13" t="str">
        <f>IF(MENU!$D$9="","",MENU!$D$9)</f>
        <v/>
      </c>
      <c r="G2" s="8" t="s">
        <v>181</v>
      </c>
      <c r="H2" s="5" t="str">
        <f t="shared" ref="H2:H27" si="0">IF(C2="",CONCATENATE("@echo Script ",G2, ".sql ejecutado en la Base de datos ", B2,"/",D2),CONCATENATE("@echo Script ",E2, " ejecutado en la Base de datos ", B2,"/",C2,"/",D2))</f>
        <v>@echo Script  ejecutado en la Base de datos UEIHNE01/SQLEXPRESS/BDHIS_MINSA</v>
      </c>
      <c r="I2" s="4" t="str">
        <f>IF(OR(E2="",F2=""),IF(C2="",IF(G2="","",(CONCATENATE("sqlcmd -E -S ",B2," -d ",D2," -i ",MENU!$E$6,A2,"\",G2,".sql -o ",MENU!$B$9,G2, ".txt &amp; ",H2))),IF(G2="","",(CONCATENATE("sqlcmd -E -S ",B2,"\",C2," -d ",D2," -i ",MENU!$E$6,A2,"\",G2,".sql -o ",MENU!$B$9,G2, ".txt &amp; ",H2)))),IF(C2="",IF(G2="","",(CONCATENATE("sqlcmd -S ",B2," -d ",D2," -U ",E2," -P ",F2," -i ",MENU!$E$6,A2,"\",G2,".sql -o ",MENU!$B$9,G2, ".txt &amp; ",H2))),IF(G2="","",(CONCATENATE("sqlcmd -S ",B2,"\",C2," -d ",D2," -U ",E2," -P ",F2," -i ",MENU!$E$6,A2,"\",G2,".sql -o ",MENU!$B$9,G2, ".txt &amp; ",H2)))))</f>
        <v>sqlcmd -E -S UEIHNE01\SQLEXPRESS -d BDHIS_MINSA -i C:\HISMINSA\Scripts\ITSVIH\dbo.usp_TRAMA_BASE_ITS_VIH_RPT01_01_POBLACION_GENERAL_CONTACTOS_2019.StoredProcedure.sql -o C:\HISMINSA\Resultados\dbo.usp_TRAMA_BASE_ITS_VIH_RPT01_01_POBLACION_GENERAL_CONTACTOS_2019.StoredProcedure.txt &amp; @echo Script  ejecutado en la Base de datos UEIHNE01/SQLEXPRESS/BDHIS_MINSA</v>
      </c>
    </row>
    <row r="3" spans="1:9" ht="43.5" customHeight="1" thickBot="1" x14ac:dyDescent="0.25">
      <c r="A3" s="4" t="s">
        <v>78</v>
      </c>
      <c r="B3" s="4" t="str">
        <f>IF(MENU!$B$6="","INGRESE SERVIDOR",MENU!$B$6)</f>
        <v>UEIHNE01</v>
      </c>
      <c r="C3" s="13" t="str">
        <f>IF(MENU!$D$6="","",MENU!$D$6)</f>
        <v>SQLEXPRESS</v>
      </c>
      <c r="D3" s="5" t="str">
        <f>IF(MENU!$C$6="","INGRESE BASE",MENU!$C$6)</f>
        <v>BDHIS_MINSA</v>
      </c>
      <c r="E3" s="13" t="str">
        <f>IF(MENU!$C$9="","",MENU!$C$9)</f>
        <v/>
      </c>
      <c r="F3" s="13" t="str">
        <f>IF(MENU!$D$9="","",MENU!$D$9)</f>
        <v/>
      </c>
      <c r="G3" s="8" t="s">
        <v>182</v>
      </c>
      <c r="H3" s="5" t="str">
        <f t="shared" si="0"/>
        <v>@echo Script  ejecutado en la Base de datos UEIHNE01/SQLEXPRESS/BDHIS_MINSA</v>
      </c>
      <c r="I3" s="4" t="str">
        <f>IF(OR(E3="",F3=""),IF(C3="",IF(G3="","",(CONCATENATE("sqlcmd -E -S ",B3," -d ",D3," -i ",MENU!$E$6,A3,"\",G3,".sql -o ",MENU!$B$9,G3, ".txt &amp; ",H3))),IF(G3="","",(CONCATENATE("sqlcmd -E -S ",B3,"\",C3," -d ",D3," -i ",MENU!$E$6,A3,"\",G3,".sql -o ",MENU!$B$9,G3, ".txt &amp; ",H3)))),IF(C3="",IF(G3="","",(CONCATENATE("sqlcmd -S ",B3," -d ",D3," -U ",E3," -P ",F3," -i ",MENU!$E$6,A3,"\",G3,".sql -o ",MENU!$B$9,G3, ".txt &amp; ",H3))),IF(G3="","",(CONCATENATE("sqlcmd -S ",B3,"\",C3," -d ",D3," -U ",E3," -P ",F3," -i ",MENU!$E$6,A3,"\",G3,".sql -o ",MENU!$B$9,G3, ".txt &amp; ",H3)))))</f>
        <v>sqlcmd -E -S UEIHNE01\SQLEXPRESS -d BDHIS_MINSA -i C:\HISMINSA\Scripts\ITSVIH\dbo.usp_TRAMA_BASE_ITS_VIH_RPT01_POBLACION_GENERAL_2019.StoredProcedure.sql -o C:\HISMINSA\Resultados\dbo.usp_TRAMA_BASE_ITS_VIH_RPT01_POBLACION_GENERAL_2019.StoredProcedure.txt &amp; @echo Script  ejecutado en la Base de datos UEIHNE01/SQLEXPRESS/BDHIS_MINSA</v>
      </c>
    </row>
    <row r="4" spans="1:9" ht="43.5" customHeight="1" thickBot="1" x14ac:dyDescent="0.25">
      <c r="A4" s="4" t="s">
        <v>78</v>
      </c>
      <c r="B4" s="4" t="str">
        <f>IF(MENU!$B$6="","INGRESE SERVIDOR",MENU!$B$6)</f>
        <v>UEIHNE01</v>
      </c>
      <c r="C4" s="13" t="str">
        <f>IF(MENU!$D$6="","",MENU!$D$6)</f>
        <v>SQLEXPRESS</v>
      </c>
      <c r="D4" s="5" t="str">
        <f>IF(MENU!$C$6="","INGRESE BASE",MENU!$C$6)</f>
        <v>BDHIS_MINSA</v>
      </c>
      <c r="E4" s="13" t="str">
        <f>IF(MENU!$C$9="","",MENU!$C$9)</f>
        <v/>
      </c>
      <c r="F4" s="13" t="str">
        <f>IF(MENU!$D$9="","",MENU!$D$9)</f>
        <v/>
      </c>
      <c r="G4" s="8" t="s">
        <v>183</v>
      </c>
      <c r="H4" s="5" t="str">
        <f t="shared" si="0"/>
        <v>@echo Script  ejecutado en la Base de datos UEIHNE01/SQLEXPRESS/BDHIS_MINSA</v>
      </c>
      <c r="I4" s="4" t="str">
        <f>IF(OR(E4="",F4=""),IF(C4="",IF(G4="","",(CONCATENATE("sqlcmd -E -S ",B4," -d ",D4," -i ",MENU!$E$6,A4,"\",G4,".sql -o ",MENU!$B$9,G4, ".txt &amp; ",H4))),IF(G4="","",(CONCATENATE("sqlcmd -E -S ",B4,"\",C4," -d ",D4," -i ",MENU!$E$6,A4,"\",G4,".sql -o ",MENU!$B$9,G4, ".txt &amp; ",H4)))),IF(C4="",IF(G4="","",(CONCATENATE("sqlcmd -S ",B4," -d ",D4," -U ",E4," -P ",F4," -i ",MENU!$E$6,A4,"\",G4,".sql -o ",MENU!$B$9,G4, ".txt &amp; ",H4))),IF(G4="","",(CONCATENATE("sqlcmd -S ",B4,"\",C4," -d ",D4," -U ",E4," -P ",F4," -i ",MENU!$E$6,A4,"\",G4,".sql -o ",MENU!$B$9,G4, ".txt &amp; ",H4)))))</f>
        <v>sqlcmd -E -S UEIHNE01\SQLEXPRESS -d BDHIS_MINSA -i C:\HISMINSA\Scripts\ITSVIH\dbo.usp_TRAMA_BASE_ITS_VIH_RPT02_HEPATITIS_B_2019.StoredProcedure.sql -o C:\HISMINSA\Resultados\dbo.usp_TRAMA_BASE_ITS_VIH_RPT02_HEPATITIS_B_2019.StoredProcedure.txt &amp; @echo Script  ejecutado en la Base de datos UEIHNE01/SQLEXPRESS/BDHIS_MINSA</v>
      </c>
    </row>
    <row r="5" spans="1:9" ht="43.5" customHeight="1" thickBot="1" x14ac:dyDescent="0.25">
      <c r="A5" s="4" t="s">
        <v>78</v>
      </c>
      <c r="B5" s="4" t="str">
        <f>IF(MENU!$B$6="","INGRESE SERVIDOR",MENU!$B$6)</f>
        <v>UEIHNE01</v>
      </c>
      <c r="C5" s="13" t="str">
        <f>IF(MENU!$D$6="","",MENU!$D$6)</f>
        <v>SQLEXPRESS</v>
      </c>
      <c r="D5" s="5" t="str">
        <f>IF(MENU!$C$6="","INGRESE BASE",MENU!$C$6)</f>
        <v>BDHIS_MINSA</v>
      </c>
      <c r="E5" s="13" t="str">
        <f>IF(MENU!$C$9="","",MENU!$C$9)</f>
        <v/>
      </c>
      <c r="F5" s="13" t="str">
        <f>IF(MENU!$D$9="","",MENU!$D$9)</f>
        <v/>
      </c>
      <c r="G5" s="8" t="s">
        <v>184</v>
      </c>
      <c r="H5" s="5" t="str">
        <f t="shared" si="0"/>
        <v>@echo Script  ejecutado en la Base de datos UEIHNE01/SQLEXPRESS/BDHIS_MINSA</v>
      </c>
      <c r="I5" s="4" t="str">
        <f>IF(OR(E5="",F5=""),IF(C5="",IF(G5="","",(CONCATENATE("sqlcmd -E -S ",B5," -d ",D5," -i ",MENU!$E$6,A5,"\",G5,".sql -o ",MENU!$B$9,G5, ".txt &amp; ",H5))),IF(G5="","",(CONCATENATE("sqlcmd -E -S ",B5,"\",C5," -d ",D5," -i ",MENU!$E$6,A5,"\",G5,".sql -o ",MENU!$B$9,G5, ".txt &amp; ",H5)))),IF(C5="",IF(G5="","",(CONCATENATE("sqlcmd -S ",B5," -d ",D5," -U ",E5," -P ",F5," -i ",MENU!$E$6,A5,"\",G5,".sql -o ",MENU!$B$9,G5, ".txt &amp; ",H5))),IF(G5="","",(CONCATENATE("sqlcmd -S ",B5,"\",C5," -d ",D5," -U ",E5," -P ",F5," -i ",MENU!$E$6,A5,"\",G5,".sql -o ",MENU!$B$9,G5, ".txt &amp; ",H5)))))</f>
        <v>sqlcmd -E -S UEIHNE01\SQLEXPRESS -d BDHIS_MINSA -i C:\HISMINSA\Scripts\ITSVIH\dbo.usp_TRAMA_BASE_ITS_VIH_RPT03_POBLACION_GENERAL_TAMIZAJE_2019.StoredProcedure.sql -o C:\HISMINSA\Resultados\dbo.usp_TRAMA_BASE_ITS_VIH_RPT03_POBLACION_GENERAL_TAMIZAJE_2019.StoredProcedure.txt &amp; @echo Script  ejecutado en la Base de datos UEIHNE01/SQLEXPRESS/BDHIS_MINSA</v>
      </c>
    </row>
    <row r="6" spans="1:9" ht="43.5" customHeight="1" thickBot="1" x14ac:dyDescent="0.25">
      <c r="A6" s="4" t="s">
        <v>78</v>
      </c>
      <c r="B6" s="4" t="str">
        <f>IF(MENU!$B$6="","INGRESE SERVIDOR",MENU!$B$6)</f>
        <v>UEIHNE01</v>
      </c>
      <c r="C6" s="13" t="str">
        <f>IF(MENU!$D$6="","",MENU!$D$6)</f>
        <v>SQLEXPRESS</v>
      </c>
      <c r="D6" s="5" t="str">
        <f>IF(MENU!$C$6="","INGRESE BASE",MENU!$C$6)</f>
        <v>BDHIS_MINSA</v>
      </c>
      <c r="E6" s="13" t="str">
        <f>IF(MENU!$C$9="","",MENU!$C$9)</f>
        <v/>
      </c>
      <c r="F6" s="13" t="str">
        <f>IF(MENU!$D$9="","",MENU!$D$9)</f>
        <v/>
      </c>
      <c r="G6" s="8" t="s">
        <v>185</v>
      </c>
      <c r="H6" s="5" t="str">
        <f t="shared" si="0"/>
        <v>@echo Script  ejecutado en la Base de datos UEIHNE01/SQLEXPRESS/BDHIS_MINSA</v>
      </c>
      <c r="I6" s="4" t="str">
        <f>IF(OR(E6="",F6=""),IF(C6="",IF(G6="","",(CONCATENATE("sqlcmd -E -S ",B6," -d ",D6," -i ",MENU!$E$6,A6,"\",G6,".sql -o ",MENU!$B$9,G6, ".txt &amp; ",H6))),IF(G6="","",(CONCATENATE("sqlcmd -E -S ",B6,"\",C6," -d ",D6," -i ",MENU!$E$6,A6,"\",G6,".sql -o ",MENU!$B$9,G6, ".txt &amp; ",H6)))),IF(C6="",IF(G6="","",(CONCATENATE("sqlcmd -S ",B6," -d ",D6," -U ",E6," -P ",F6," -i ",MENU!$E$6,A6,"\",G6,".sql -o ",MENU!$B$9,G6, ".txt &amp; ",H6))),IF(G6="","",(CONCATENATE("sqlcmd -S ",B6,"\",C6," -d ",D6," -U ",E6," -P ",F6," -i ",MENU!$E$6,A6,"\",G6,".sql -o ",MENU!$B$9,G6, ".txt &amp; ",H6)))))</f>
        <v>sqlcmd -E -S UEIHNE01\SQLEXPRESS -d BDHIS_MINSA -i C:\HISMINSA\Scripts\ITSVIH\dbo.usp_TRAMA_BASE_ITS_VIH_RPT04_EXPOSICION_VIH_2019.StoredProcedure.sql -o C:\HISMINSA\Resultados\dbo.usp_TRAMA_BASE_ITS_VIH_RPT04_EXPOSICION_VIH_2019.StoredProcedure.txt &amp; @echo Script  ejecutado en la Base de datos UEIHNE01/SQLEXPRESS/BDHIS_MINSA</v>
      </c>
    </row>
    <row r="7" spans="1:9" ht="43.5" customHeight="1" thickBot="1" x14ac:dyDescent="0.25">
      <c r="A7" s="4" t="s">
        <v>78</v>
      </c>
      <c r="B7" s="4" t="str">
        <f>IF(MENU!$B$6="","INGRESE SERVIDOR",MENU!$B$6)</f>
        <v>UEIHNE01</v>
      </c>
      <c r="C7" s="13" t="str">
        <f>IF(MENU!$D$6="","",MENU!$D$6)</f>
        <v>SQLEXPRESS</v>
      </c>
      <c r="D7" s="5" t="str">
        <f>IF(MENU!$C$6="","INGRESE BASE",MENU!$C$6)</f>
        <v>BDHIS_MINSA</v>
      </c>
      <c r="E7" s="13" t="str">
        <f>IF(MENU!$C$9="","",MENU!$C$9)</f>
        <v/>
      </c>
      <c r="F7" s="13" t="str">
        <f>IF(MENU!$D$9="","",MENU!$D$9)</f>
        <v/>
      </c>
      <c r="G7" s="8" t="s">
        <v>186</v>
      </c>
      <c r="H7" s="5" t="str">
        <f t="shared" si="0"/>
        <v>@echo Script  ejecutado en la Base de datos UEIHNE01/SQLEXPRESS/BDHIS_MINSA</v>
      </c>
      <c r="I7" s="4" t="str">
        <f>IF(OR(E7="",F7=""),IF(C7="",IF(G7="","",(CONCATENATE("sqlcmd -E -S ",B7," -d ",D7," -i ",MENU!$E$6,A7,"\",G7,".sql -o ",MENU!$B$9,G7, ".txt &amp; ",H7))),IF(G7="","",(CONCATENATE("sqlcmd -E -S ",B7,"\",C7," -d ",D7," -i ",MENU!$E$6,A7,"\",G7,".sql -o ",MENU!$B$9,G7, ".txt &amp; ",H7)))),IF(C7="",IF(G7="","",(CONCATENATE("sqlcmd -S ",B7," -d ",D7," -U ",E7," -P ",F7," -i ",MENU!$E$6,A7,"\",G7,".sql -o ",MENU!$B$9,G7, ".txt &amp; ",H7))),IF(G7="","",(CONCATENATE("sqlcmd -S ",B7,"\",C7," -d ",D7," -U ",E7," -P ",F7," -i ",MENU!$E$6,A7,"\",G7,".sql -o ",MENU!$B$9,G7, ".txt &amp; ",H7)))))</f>
        <v>sqlcmd -E -S UEIHNE01\SQLEXPRESS -d BDHIS_MINSA -i C:\HISMINSA\Scripts\ITSVIH\dbo.usp_TRAMA_BASE_ITS_VIH_RPT05_PVVIH_ATENCION_INTEGRAL_2019.StoredProcedure.sql -o C:\HISMINSA\Resultados\dbo.usp_TRAMA_BASE_ITS_VIH_RPT05_PVVIH_ATENCION_INTEGRAL_2019.StoredProcedure.txt &amp; @echo Script  ejecutado en la Base de datos UEIHNE01/SQLEXPRESS/BDHIS_MINSA</v>
      </c>
    </row>
    <row r="8" spans="1:9" ht="43.5" customHeight="1" thickBot="1" x14ac:dyDescent="0.25">
      <c r="A8" s="4" t="s">
        <v>78</v>
      </c>
      <c r="B8" s="4" t="str">
        <f>IF(MENU!$B$6="","INGRESE SERVIDOR",MENU!$B$6)</f>
        <v>UEIHNE01</v>
      </c>
      <c r="C8" s="13" t="str">
        <f>IF(MENU!$D$6="","",MENU!$D$6)</f>
        <v>SQLEXPRESS</v>
      </c>
      <c r="D8" s="5" t="str">
        <f>IF(MENU!$C$6="","INGRESE BASE",MENU!$C$6)</f>
        <v>BDHIS_MINSA</v>
      </c>
      <c r="E8" s="13" t="str">
        <f>IF(MENU!$C$9="","",MENU!$C$9)</f>
        <v/>
      </c>
      <c r="F8" s="13" t="str">
        <f>IF(MENU!$D$9="","",MENU!$D$9)</f>
        <v/>
      </c>
      <c r="G8" s="8" t="s">
        <v>187</v>
      </c>
      <c r="H8" s="5" t="str">
        <f t="shared" si="0"/>
        <v>@echo Script  ejecutado en la Base de datos UEIHNE01/SQLEXPRESS/BDHIS_MINSA</v>
      </c>
      <c r="I8" s="4" t="str">
        <f>IF(OR(E8="",F8=""),IF(C8="",IF(G8="","",(CONCATENATE("sqlcmd -E -S ",B8," -d ",D8," -i ",MENU!$E$6,A8,"\",G8,".sql -o ",MENU!$B$9,G8, ".txt &amp; ",H8))),IF(G8="","",(CONCATENATE("sqlcmd -E -S ",B8,"\",C8," -d ",D8," -i ",MENU!$E$6,A8,"\",G8,".sql -o ",MENU!$B$9,G8, ".txt &amp; ",H8)))),IF(C8="",IF(G8="","",(CONCATENATE("sqlcmd -S ",B8," -d ",D8," -U ",E8," -P ",F8," -i ",MENU!$E$6,A8,"\",G8,".sql -o ",MENU!$B$9,G8, ".txt &amp; ",H8))),IF(G8="","",(CONCATENATE("sqlcmd -S ",B8,"\",C8," -d ",D8," -U ",E8," -P ",F8," -i ",MENU!$E$6,A8,"\",G8,".sql -o ",MENU!$B$9,G8, ".txt &amp; ",H8)))))</f>
        <v>sqlcmd -E -S UEIHNE01\SQLEXPRESS -d BDHIS_MINSA -i C:\HISMINSA\Scripts\ITSVIH\dbo.usp_TRAMA_BASE_ITS_VIH_RPT06_01_GESTANTES_RN_2019.StoredProcedure.sql -o C:\HISMINSA\Resultados\dbo.usp_TRAMA_BASE_ITS_VIH_RPT06_01_GESTANTES_RN_2019.StoredProcedure.txt &amp; @echo Script  ejecutado en la Base de datos UEIHNE01/SQLEXPRESS/BDHIS_MINSA</v>
      </c>
    </row>
    <row r="9" spans="1:9" ht="43.5" customHeight="1" thickBot="1" x14ac:dyDescent="0.25">
      <c r="A9" s="4" t="s">
        <v>78</v>
      </c>
      <c r="B9" s="4" t="str">
        <f>IF(MENU!$B$6="","INGRESE SERVIDOR",MENU!$B$6)</f>
        <v>UEIHNE01</v>
      </c>
      <c r="C9" s="13" t="str">
        <f>IF(MENU!$D$6="","",MENU!$D$6)</f>
        <v>SQLEXPRESS</v>
      </c>
      <c r="D9" s="5" t="str">
        <f>IF(MENU!$C$6="","INGRESE BASE",MENU!$C$6)</f>
        <v>BDHIS_MINSA</v>
      </c>
      <c r="E9" s="13" t="str">
        <f>IF(MENU!$C$9="","",MENU!$C$9)</f>
        <v/>
      </c>
      <c r="F9" s="13" t="str">
        <f>IF(MENU!$D$9="","",MENU!$D$9)</f>
        <v/>
      </c>
      <c r="G9" s="8" t="s">
        <v>188</v>
      </c>
      <c r="H9" s="5" t="str">
        <f t="shared" si="0"/>
        <v>@echo Script  ejecutado en la Base de datos UEIHNE01/SQLEXPRESS/BDHIS_MINSA</v>
      </c>
      <c r="I9" s="4" t="str">
        <f>IF(OR(E9="",F9=""),IF(C9="",IF(G9="","",(CONCATENATE("sqlcmd -E -S ",B9," -d ",D9," -i ",MENU!$E$6,A9,"\",G9,".sql -o ",MENU!$B$9,G9, ".txt &amp; ",H9))),IF(G9="","",(CONCATENATE("sqlcmd -E -S ",B9,"\",C9," -d ",D9," -i ",MENU!$E$6,A9,"\",G9,".sql -o ",MENU!$B$9,G9, ".txt &amp; ",H9)))),IF(C9="",IF(G9="","",(CONCATENATE("sqlcmd -S ",B9," -d ",D9," -U ",E9," -P ",F9," -i ",MENU!$E$6,A9,"\",G9,".sql -o ",MENU!$B$9,G9, ".txt &amp; ",H9))),IF(G9="","",(CONCATENATE("sqlcmd -S ",B9,"\",C9," -d ",D9," -U ",E9," -P ",F9," -i ",MENU!$E$6,A9,"\",G9,".sql -o ",MENU!$B$9,G9, ".txt &amp; ",H9)))))</f>
        <v>sqlcmd -E -S UEIHNE01\SQLEXPRESS -d BDHIS_MINSA -i C:\HISMINSA\Scripts\ITSVIH\dbo.usp_TRAMA_BASE_ITS_VIH_RPT06_02_GESTANTES_RN_2019.StoredProcedure.sql -o C:\HISMINSA\Resultados\dbo.usp_TRAMA_BASE_ITS_VIH_RPT06_02_GESTANTES_RN_2019.StoredProcedure.txt &amp; @echo Script  ejecutado en la Base de datos UEIHNE01/SQLEXPRESS/BDHIS_MINSA</v>
      </c>
    </row>
    <row r="10" spans="1:9" ht="43.5" customHeight="1" thickBot="1" x14ac:dyDescent="0.25">
      <c r="A10" s="4" t="s">
        <v>78</v>
      </c>
      <c r="B10" s="4" t="str">
        <f>IF(MENU!$B$6="","INGRESE SERVIDOR",MENU!$B$6)</f>
        <v>UEIHNE01</v>
      </c>
      <c r="C10" s="13" t="str">
        <f>IF(MENU!$D$6="","",MENU!$D$6)</f>
        <v>SQLEXPRESS</v>
      </c>
      <c r="D10" s="5" t="str">
        <f>IF(MENU!$C$6="","INGRESE BASE",MENU!$C$6)</f>
        <v>BDHIS_MINSA</v>
      </c>
      <c r="E10" s="13" t="str">
        <f>IF(MENU!$C$9="","",MENU!$C$9)</f>
        <v/>
      </c>
      <c r="F10" s="13" t="str">
        <f>IF(MENU!$D$9="","",MENU!$D$9)</f>
        <v/>
      </c>
      <c r="G10" s="8" t="s">
        <v>189</v>
      </c>
      <c r="H10" s="5" t="str">
        <f t="shared" si="0"/>
        <v>@echo Script  ejecutado en la Base de datos UEIHNE01/SQLEXPRESS/BDHIS_MINSA</v>
      </c>
      <c r="I10" s="4" t="str">
        <f>IF(OR(E10="",F10=""),IF(C10="",IF(G10="","",(CONCATENATE("sqlcmd -E -S ",B10," -d ",D10," -i ",MENU!$E$6,A10,"\",G10,".sql -o ",MENU!$B$9,G10, ".txt &amp; ",H10))),IF(G10="","",(CONCATENATE("sqlcmd -E -S ",B10,"\",C10," -d ",D10," -i ",MENU!$E$6,A10,"\",G10,".sql -o ",MENU!$B$9,G10, ".txt &amp; ",H10)))),IF(C10="",IF(G10="","",(CONCATENATE("sqlcmd -S ",B10," -d ",D10," -U ",E10," -P ",F10," -i ",MENU!$E$6,A10,"\",G10,".sql -o ",MENU!$B$9,G10, ".txt &amp; ",H10))),IF(G10="","",(CONCATENATE("sqlcmd -S ",B10,"\",C10," -d ",D10," -U ",E10," -P ",F10," -i ",MENU!$E$6,A10,"\",G10,".sql -o ",MENU!$B$9,G10, ".txt &amp; ",H10)))))</f>
        <v>sqlcmd -E -S UEIHNE01\SQLEXPRESS -d BDHIS_MINSA -i C:\HISMINSA\Scripts\ITSVIH\dbo.usp_TRAMA_BASE_ITS_VIH_RPT06_03_GESTANTES_RN_2019.StoredProcedure.sql -o C:\HISMINSA\Resultados\dbo.usp_TRAMA_BASE_ITS_VIH_RPT06_03_GESTANTES_RN_2019.StoredProcedure.txt &amp; @echo Script  ejecutado en la Base de datos UEIHNE01/SQLEXPRESS/BDHIS_MINSA</v>
      </c>
    </row>
    <row r="11" spans="1:9" ht="43.5" customHeight="1" thickBot="1" x14ac:dyDescent="0.25">
      <c r="A11" s="4" t="s">
        <v>78</v>
      </c>
      <c r="B11" s="4" t="str">
        <f>IF(MENU!$B$6="","INGRESE SERVIDOR",MENU!$B$6)</f>
        <v>UEIHNE01</v>
      </c>
      <c r="C11" s="13" t="str">
        <f>IF(MENU!$D$6="","",MENU!$D$6)</f>
        <v>SQLEXPRESS</v>
      </c>
      <c r="D11" s="5" t="str">
        <f>IF(MENU!$C$6="","INGRESE BASE",MENU!$C$6)</f>
        <v>BDHIS_MINSA</v>
      </c>
      <c r="E11" s="13" t="str">
        <f>IF(MENU!$C$9="","",MENU!$C$9)</f>
        <v/>
      </c>
      <c r="F11" s="13" t="str">
        <f>IF(MENU!$D$9="","",MENU!$D$9)</f>
        <v/>
      </c>
      <c r="G11" s="8" t="s">
        <v>190</v>
      </c>
      <c r="H11" s="5" t="str">
        <f t="shared" si="0"/>
        <v>@echo Script  ejecutado en la Base de datos UEIHNE01/SQLEXPRESS/BDHIS_MINSA</v>
      </c>
      <c r="I11" s="4" t="str">
        <f>IF(OR(E11="",F11=""),IF(C11="",IF(G11="","",(CONCATENATE("sqlcmd -E -S ",B11," -d ",D11," -i ",MENU!$E$6,A11,"\",G11,".sql -o ",MENU!$B$9,G11, ".txt &amp; ",H11))),IF(G11="","",(CONCATENATE("sqlcmd -E -S ",B11,"\",C11," -d ",D11," -i ",MENU!$E$6,A11,"\",G11,".sql -o ",MENU!$B$9,G11, ".txt &amp; ",H11)))),IF(C11="",IF(G11="","",(CONCATENATE("sqlcmd -S ",B11," -d ",D11," -U ",E11," -P ",F11," -i ",MENU!$E$6,A11,"\",G11,".sql -o ",MENU!$B$9,G11, ".txt &amp; ",H11))),IF(G11="","",(CONCATENATE("sqlcmd -S ",B11,"\",C11," -d ",D11," -U ",E11," -P ",F11," -i ",MENU!$E$6,A11,"\",G11,".sql -o ",MENU!$B$9,G11, ".txt &amp; ",H11)))))</f>
        <v>sqlcmd -E -S UEIHNE01\SQLEXPRESS -d BDHIS_MINSA -i C:\HISMINSA\Scripts\ITSVIH\dbo.usp_TRAMA_BASE_ITS_VIH_RPT07_TRABAJADORES_SEXUALES_2019.StoredProcedure.sql -o C:\HISMINSA\Resultados\dbo.usp_TRAMA_BASE_ITS_VIH_RPT07_TRABAJADORES_SEXUALES_2019.StoredProcedure.txt &amp; @echo Script  ejecutado en la Base de datos UEIHNE01/SQLEXPRESS/BDHIS_MINSA</v>
      </c>
    </row>
    <row r="12" spans="1:9" ht="43.5" customHeight="1" thickBot="1" x14ac:dyDescent="0.25">
      <c r="A12" s="4" t="s">
        <v>78</v>
      </c>
      <c r="B12" s="4" t="str">
        <f>IF(MENU!$B$6="","INGRESE SERVIDOR",MENU!$B$6)</f>
        <v>UEIHNE01</v>
      </c>
      <c r="C12" s="13" t="str">
        <f>IF(MENU!$D$6="","",MENU!$D$6)</f>
        <v>SQLEXPRESS</v>
      </c>
      <c r="D12" s="5" t="str">
        <f>IF(MENU!$C$6="","INGRESE BASE",MENU!$C$6)</f>
        <v>BDHIS_MINSA</v>
      </c>
      <c r="E12" s="13" t="str">
        <f>IF(MENU!$C$9="","",MENU!$C$9)</f>
        <v/>
      </c>
      <c r="F12" s="13" t="str">
        <f>IF(MENU!$D$9="","",MENU!$D$9)</f>
        <v/>
      </c>
      <c r="G12" s="8" t="s">
        <v>191</v>
      </c>
      <c r="H12" s="5" t="str">
        <f t="shared" si="0"/>
        <v>@echo Script  ejecutado en la Base de datos UEIHNE01/SQLEXPRESS/BDHIS_MINSA</v>
      </c>
      <c r="I12" s="4" t="str">
        <f>IF(OR(E12="",F12=""),IF(C12="",IF(G12="","",(CONCATENATE("sqlcmd -E -S ",B12," -d ",D12," -i ",MENU!$E$6,A12,"\",G12,".sql -o ",MENU!$B$9,G12, ".txt &amp; ",H12))),IF(G12="","",(CONCATENATE("sqlcmd -E -S ",B12,"\",C12," -d ",D12," -i ",MENU!$E$6,A12,"\",G12,".sql -o ",MENU!$B$9,G12, ".txt &amp; ",H12)))),IF(C12="",IF(G12="","",(CONCATENATE("sqlcmd -S ",B12," -d ",D12," -U ",E12," -P ",F12," -i ",MENU!$E$6,A12,"\",G12,".sql -o ",MENU!$B$9,G12, ".txt &amp; ",H12))),IF(G12="","",(CONCATENATE("sqlcmd -S ",B12,"\",C12," -d ",D12," -U ",E12," -P ",F12," -i ",MENU!$E$6,A12,"\",G12,".sql -o ",MENU!$B$9,G12, ".txt &amp; ",H12)))))</f>
        <v>sqlcmd -E -S UEIHNE01\SQLEXPRESS -d BDHIS_MINSA -i C:\HISMINSA\Scripts\ITSVIH\dbo.usp_TRAMA_BASE_ITS_VIH_RPT08_01_TRABAJADORES_SEXUALES_ITS_TRATADOS_2019.StoredProcedure.sql -o C:\HISMINSA\Resultados\dbo.usp_TRAMA_BASE_ITS_VIH_RPT08_01_TRABAJADORES_SEXUALES_ITS_TRATADOS_2019.StoredProcedure.txt &amp; @echo Script  ejecutado en la Base de datos UEIHNE01/SQLEXPRESS/BDHIS_MINSA</v>
      </c>
    </row>
    <row r="13" spans="1:9" ht="43.5" customHeight="1" thickBot="1" x14ac:dyDescent="0.25">
      <c r="A13" s="4" t="s">
        <v>78</v>
      </c>
      <c r="B13" s="4" t="str">
        <f>IF(MENU!$B$6="","INGRESE SERVIDOR",MENU!$B$6)</f>
        <v>UEIHNE01</v>
      </c>
      <c r="C13" s="13" t="str">
        <f>IF(MENU!$D$6="","",MENU!$D$6)</f>
        <v>SQLEXPRESS</v>
      </c>
      <c r="D13" s="5" t="str">
        <f>IF(MENU!$C$6="","INGRESE BASE",MENU!$C$6)</f>
        <v>BDHIS_MINSA</v>
      </c>
      <c r="E13" s="13" t="str">
        <f>IF(MENU!$C$9="","",MENU!$C$9)</f>
        <v/>
      </c>
      <c r="F13" s="13" t="str">
        <f>IF(MENU!$D$9="","",MENU!$D$9)</f>
        <v/>
      </c>
      <c r="G13" s="8" t="s">
        <v>192</v>
      </c>
      <c r="H13" s="5" t="str">
        <f t="shared" si="0"/>
        <v>@echo Script  ejecutado en la Base de datos UEIHNE01/SQLEXPRESS/BDHIS_MINSA</v>
      </c>
      <c r="I13" s="4" t="str">
        <f>IF(OR(E13="",F13=""),IF(C13="",IF(G13="","",(CONCATENATE("sqlcmd -E -S ",B13," -d ",D13," -i ",MENU!$E$6,A13,"\",G13,".sql -o ",MENU!$B$9,G13, ".txt &amp; ",H13))),IF(G13="","",(CONCATENATE("sqlcmd -E -S ",B13,"\",C13," -d ",D13," -i ",MENU!$E$6,A13,"\",G13,".sql -o ",MENU!$B$9,G13, ".txt &amp; ",H13)))),IF(C13="",IF(G13="","",(CONCATENATE("sqlcmd -S ",B13," -d ",D13," -U ",E13," -P ",F13," -i ",MENU!$E$6,A13,"\",G13,".sql -o ",MENU!$B$9,G13, ".txt &amp; ",H13))),IF(G13="","",(CONCATENATE("sqlcmd -S ",B13,"\",C13," -d ",D13," -U ",E13," -P ",F13," -i ",MENU!$E$6,A13,"\",G13,".sql -o ",MENU!$B$9,G13, ".txt &amp; ",H13)))))</f>
        <v>sqlcmd -E -S UEIHNE01\SQLEXPRESS -d BDHIS_MINSA -i C:\HISMINSA\Scripts\ITSVIH\dbo.usp_TRAMA_BASE_ITS_VIH_RPT08_TRABAJADORES_SEXUALES_ITS_2019.StoredProcedure.sql -o C:\HISMINSA\Resultados\dbo.usp_TRAMA_BASE_ITS_VIH_RPT08_TRABAJADORES_SEXUALES_ITS_2019.StoredProcedure.txt &amp; @echo Script  ejecutado en la Base de datos UEIHNE01/SQLEXPRESS/BDHIS_MINSA</v>
      </c>
    </row>
    <row r="14" spans="1:9" ht="43.5" customHeight="1" thickBot="1" x14ac:dyDescent="0.25">
      <c r="A14" s="4" t="s">
        <v>78</v>
      </c>
      <c r="B14" s="4" t="str">
        <f>IF(MENU!$B$6="","INGRESE SERVIDOR",MENU!$B$6)</f>
        <v>UEIHNE01</v>
      </c>
      <c r="C14" s="13" t="str">
        <f>IF(MENU!$D$6="","",MENU!$D$6)</f>
        <v>SQLEXPRESS</v>
      </c>
      <c r="D14" s="5" t="str">
        <f>IF(MENU!$C$6="","INGRESE BASE",MENU!$C$6)</f>
        <v>BDHIS_MINSA</v>
      </c>
      <c r="E14" s="13" t="str">
        <f>IF(MENU!$C$9="","",MENU!$C$9)</f>
        <v/>
      </c>
      <c r="F14" s="13" t="str">
        <f>IF(MENU!$D$9="","",MENU!$D$9)</f>
        <v/>
      </c>
      <c r="G14" s="8" t="s">
        <v>193</v>
      </c>
      <c r="H14" s="5" t="str">
        <f t="shared" si="0"/>
        <v>@echo Script  ejecutado en la Base de datos UEIHNE01/SQLEXPRESS/BDHIS_MINSA</v>
      </c>
      <c r="I14" s="4" t="str">
        <f>IF(OR(E14="",F14=""),IF(C14="",IF(G14="","",(CONCATENATE("sqlcmd -E -S ",B14," -d ",D14," -i ",MENU!$E$6,A14,"\",G14,".sql -o ",MENU!$B$9,G14, ".txt &amp; ",H14))),IF(G14="","",(CONCATENATE("sqlcmd -E -S ",B14,"\",C14," -d ",D14," -i ",MENU!$E$6,A14,"\",G14,".sql -o ",MENU!$B$9,G14, ".txt &amp; ",H14)))),IF(C14="",IF(G14="","",(CONCATENATE("sqlcmd -S ",B14," -d ",D14," -U ",E14," -P ",F14," -i ",MENU!$E$6,A14,"\",G14,".sql -o ",MENU!$B$9,G14, ".txt &amp; ",H14))),IF(G14="","",(CONCATENATE("sqlcmd -S ",B14,"\",C14," -d ",D14," -U ",E14," -P ",F14," -i ",MENU!$E$6,A14,"\",G14,".sql -o ",MENU!$B$9,G14, ".txt &amp; ",H14)))))</f>
        <v>sqlcmd -E -S UEIHNE01\SQLEXPRESS -d BDHIS_MINSA -i C:\HISMINSA\Scripts\ITSVIH\dbo.usp_TRAMA_BASE_ITS_VIH_RPT09_TRANS_2019.StoredProcedure.sql -o C:\HISMINSA\Resultados\dbo.usp_TRAMA_BASE_ITS_VIH_RPT09_TRANS_2019.StoredProcedure.txt &amp; @echo Script  ejecutado en la Base de datos UEIHNE01/SQLEXPRESS/BDHIS_MINSA</v>
      </c>
    </row>
    <row r="15" spans="1:9" ht="43.5" customHeight="1" thickBot="1" x14ac:dyDescent="0.25">
      <c r="A15" s="4" t="s">
        <v>78</v>
      </c>
      <c r="B15" s="4" t="str">
        <f>IF(MENU!$B$6="","INGRESE SERVIDOR",MENU!$B$6)</f>
        <v>UEIHNE01</v>
      </c>
      <c r="C15" s="13" t="str">
        <f>IF(MENU!$D$6="","",MENU!$D$6)</f>
        <v>SQLEXPRESS</v>
      </c>
      <c r="D15" s="5" t="str">
        <f>IF(MENU!$C$6="","INGRESE BASE",MENU!$C$6)</f>
        <v>BDHIS_MINSA</v>
      </c>
      <c r="E15" s="13" t="str">
        <f>IF(MENU!$C$9="","",MENU!$C$9)</f>
        <v/>
      </c>
      <c r="F15" s="13" t="str">
        <f>IF(MENU!$D$9="","",MENU!$D$9)</f>
        <v/>
      </c>
      <c r="G15" s="8" t="s">
        <v>194</v>
      </c>
      <c r="H15" s="5" t="str">
        <f t="shared" si="0"/>
        <v>@echo Script  ejecutado en la Base de datos UEIHNE01/SQLEXPRESS/BDHIS_MINSA</v>
      </c>
      <c r="I15" s="4" t="str">
        <f>IF(OR(E15="",F15=""),IF(C15="",IF(G15="","",(CONCATENATE("sqlcmd -E -S ",B15," -d ",D15," -i ",MENU!$E$6,A15,"\",G15,".sql -o ",MENU!$B$9,G15, ".txt &amp; ",H15))),IF(G15="","",(CONCATENATE("sqlcmd -E -S ",B15,"\",C15," -d ",D15," -i ",MENU!$E$6,A15,"\",G15,".sql -o ",MENU!$B$9,G15, ".txt &amp; ",H15)))),IF(C15="",IF(G15="","",(CONCATENATE("sqlcmd -S ",B15," -d ",D15," -U ",E15," -P ",F15," -i ",MENU!$E$6,A15,"\",G15,".sql -o ",MENU!$B$9,G15, ".txt &amp; ",H15))),IF(G15="","",(CONCATENATE("sqlcmd -S ",B15,"\",C15," -d ",D15," -U ",E15," -P ",F15," -i ",MENU!$E$6,A15,"\",G15,".sql -o ",MENU!$B$9,G15, ".txt &amp; ",H15)))))</f>
        <v>sqlcmd -E -S UEIHNE01\SQLEXPRESS -d BDHIS_MINSA -i C:\HISMINSA\Scripts\ITSVIH\dbo.usp_TRAMA_BASE_ITS_VIH_RPT10_TRABAJADORES_SEXUALES_TRANS_ITS_2019.StoredProcedure.sql -o C:\HISMINSA\Resultados\dbo.usp_TRAMA_BASE_ITS_VIH_RPT10_TRABAJADORES_SEXUALES_TRANS_ITS_2019.StoredProcedure.txt &amp; @echo Script  ejecutado en la Base de datos UEIHNE01/SQLEXPRESS/BDHIS_MINSA</v>
      </c>
    </row>
    <row r="16" spans="1:9" ht="43.5" customHeight="1" thickBot="1" x14ac:dyDescent="0.25">
      <c r="A16" s="4" t="s">
        <v>78</v>
      </c>
      <c r="B16" s="4" t="str">
        <f>IF(MENU!$B$6="","INGRESE SERVIDOR",MENU!$B$6)</f>
        <v>UEIHNE01</v>
      </c>
      <c r="C16" s="13" t="str">
        <f>IF(MENU!$D$6="","",MENU!$D$6)</f>
        <v>SQLEXPRESS</v>
      </c>
      <c r="D16" s="5" t="str">
        <f>IF(MENU!$C$6="","INGRESE BASE",MENU!$C$6)</f>
        <v>BDHIS_MINSA</v>
      </c>
      <c r="E16" s="13" t="str">
        <f>IF(MENU!$C$9="","",MENU!$C$9)</f>
        <v/>
      </c>
      <c r="F16" s="13" t="str">
        <f>IF(MENU!$D$9="","",MENU!$D$9)</f>
        <v/>
      </c>
      <c r="G16" s="8" t="s">
        <v>195</v>
      </c>
      <c r="H16" s="5" t="str">
        <f t="shared" si="0"/>
        <v>@echo Script  ejecutado en la Base de datos UEIHNE01/SQLEXPRESS/BDHIS_MINSA</v>
      </c>
      <c r="I16" s="4" t="str">
        <f>IF(OR(E16="",F16=""),IF(C16="",IF(G16="","",(CONCATENATE("sqlcmd -E -S ",B16," -d ",D16," -i ",MENU!$E$6,A16,"\",G16,".sql -o ",MENU!$B$9,G16, ".txt &amp; ",H16))),IF(G16="","",(CONCATENATE("sqlcmd -E -S ",B16,"\",C16," -d ",D16," -i ",MENU!$E$6,A16,"\",G16,".sql -o ",MENU!$B$9,G16, ".txt &amp; ",H16)))),IF(C16="",IF(G16="","",(CONCATENATE("sqlcmd -S ",B16," -d ",D16," -U ",E16," -P ",F16," -i ",MENU!$E$6,A16,"\",G16,".sql -o ",MENU!$B$9,G16, ".txt &amp; ",H16))),IF(G16="","",(CONCATENATE("sqlcmd -S ",B16,"\",C16," -d ",D16," -U ",E16," -P ",F16," -i ",MENU!$E$6,A16,"\",G16,".sql -o ",MENU!$B$9,G16, ".txt &amp; ",H16)))))</f>
        <v>sqlcmd -E -S UEIHNE01\SQLEXPRESS -d BDHIS_MINSA -i C:\HISMINSA\Scripts\ITSVIH\dbo.usp_TRAMA_BASE_ITS_VIH_RPT10_TRABAJADORES_SEXUALES_TRANS_ITS_TRATADOS_2019.StoredProcedure.sql -o C:\HISMINSA\Resultados\dbo.usp_TRAMA_BASE_ITS_VIH_RPT10_TRABAJADORES_SEXUALES_TRANS_ITS_TRATADOS_2019.StoredProcedure.txt &amp; @echo Script  ejecutado en la Base de datos UEIHNE01/SQLEXPRESS/BDHIS_MINSA</v>
      </c>
    </row>
    <row r="17" spans="1:9" ht="43.5" customHeight="1" thickBot="1" x14ac:dyDescent="0.25">
      <c r="A17" s="4" t="s">
        <v>78</v>
      </c>
      <c r="B17" s="4" t="str">
        <f>IF(MENU!$B$6="","INGRESE SERVIDOR",MENU!$B$6)</f>
        <v>UEIHNE01</v>
      </c>
      <c r="C17" s="13" t="str">
        <f>IF(MENU!$D$6="","",MENU!$D$6)</f>
        <v>SQLEXPRESS</v>
      </c>
      <c r="D17" s="5" t="str">
        <f>IF(MENU!$C$6="","INGRESE BASE",MENU!$C$6)</f>
        <v>BDHIS_MINSA</v>
      </c>
      <c r="E17" s="13" t="str">
        <f>IF(MENU!$C$9="","",MENU!$C$9)</f>
        <v/>
      </c>
      <c r="F17" s="13" t="str">
        <f>IF(MENU!$D$9="","",MENU!$D$9)</f>
        <v/>
      </c>
      <c r="G17" s="8" t="s">
        <v>196</v>
      </c>
      <c r="H17" s="5" t="str">
        <f t="shared" si="0"/>
        <v>@echo Script  ejecutado en la Base de datos UEIHNE01/SQLEXPRESS/BDHIS_MINSA</v>
      </c>
      <c r="I17" s="4" t="str">
        <f>IF(OR(E17="",F17=""),IF(C17="",IF(G17="","",(CONCATENATE("sqlcmd -E -S ",B17," -d ",D17," -i ",MENU!$E$6,A17,"\",G17,".sql -o ",MENU!$B$9,G17, ".txt &amp; ",H17))),IF(G17="","",(CONCATENATE("sqlcmd -E -S ",B17,"\",C17," -d ",D17," -i ",MENU!$E$6,A17,"\",G17,".sql -o ",MENU!$B$9,G17, ".txt &amp; ",H17)))),IF(C17="",IF(G17="","",(CONCATENATE("sqlcmd -S ",B17," -d ",D17," -U ",E17," -P ",F17," -i ",MENU!$E$6,A17,"\",G17,".sql -o ",MENU!$B$9,G17, ".txt &amp; ",H17))),IF(G17="","",(CONCATENATE("sqlcmd -S ",B17,"\",C17," -d ",D17," -U ",E17," -P ",F17," -i ",MENU!$E$6,A17,"\",G17,".sql -o ",MENU!$B$9,G17, ".txt &amp; ",H17)))))</f>
        <v>sqlcmd -E -S UEIHNE01\SQLEXPRESS -d BDHIS_MINSA -i C:\HISMINSA\Scripts\ITSVIH\dbo.usp_TRAMA_BASE_ITS_VIH_RPT11_HEPATITIS_C_2019.StoredProcedure.sql -o C:\HISMINSA\Resultados\dbo.usp_TRAMA_BASE_ITS_VIH_RPT11_HEPATITIS_C_2019.StoredProcedure.txt &amp; @echo Script  ejecutado en la Base de datos UEIHNE01/SQLEXPRESS/BDHIS_MINSA</v>
      </c>
    </row>
    <row r="18" spans="1:9" ht="43.5" customHeight="1" thickBot="1" x14ac:dyDescent="0.25">
      <c r="A18" s="4" t="s">
        <v>78</v>
      </c>
      <c r="B18" s="4" t="str">
        <f>IF(MENU!$B$6="","INGRESE SERVIDOR",MENU!$B$6)</f>
        <v>UEIHNE01</v>
      </c>
      <c r="C18" s="13" t="str">
        <f>IF(MENU!$D$6="","",MENU!$D$6)</f>
        <v>SQLEXPRESS</v>
      </c>
      <c r="D18" s="5" t="str">
        <f>IF(MENU!$C$6="","INGRESE BASE",MENU!$C$6)</f>
        <v>BDHIS_MINSA</v>
      </c>
      <c r="E18" s="13" t="str">
        <f>IF(MENU!$C$9="","",MENU!$C$9)</f>
        <v/>
      </c>
      <c r="F18" s="13" t="str">
        <f>IF(MENU!$D$9="","",MENU!$D$9)</f>
        <v/>
      </c>
      <c r="G18" s="8" t="s">
        <v>197</v>
      </c>
      <c r="H18" s="5" t="str">
        <f t="shared" si="0"/>
        <v>@echo Script  ejecutado en la Base de datos UEIHNE01/SQLEXPRESS/BDHIS_MINSA</v>
      </c>
      <c r="I18" s="4" t="str">
        <f>IF(OR(E18="",F18=""),IF(C18="",IF(G18="","",(CONCATENATE("sqlcmd -E -S ",B18," -d ",D18," -i ",MENU!$E$6,A18,"\",G18,".sql -o ",MENU!$B$9,G18, ".txt &amp; ",H18))),IF(G18="","",(CONCATENATE("sqlcmd -E -S ",B18,"\",C18," -d ",D18," -i ",MENU!$E$6,A18,"\",G18,".sql -o ",MENU!$B$9,G18, ".txt &amp; ",H18)))),IF(C18="",IF(G18="","",(CONCATENATE("sqlcmd -S ",B18," -d ",D18," -U ",E18," -P ",F18," -i ",MENU!$E$6,A18,"\",G18,".sql -o ",MENU!$B$9,G18, ".txt &amp; ",H18))),IF(G18="","",(CONCATENATE("sqlcmd -S ",B18,"\",C18," -d ",D18," -U ",E18," -P ",F18," -i ",MENU!$E$6,A18,"\",G18,".sql -o ",MENU!$B$9,G18, ".txt &amp; ",H18)))))</f>
        <v>sqlcmd -E -S UEIHNE01\SQLEXPRESS -d BDHIS_MINSA -i C:\HISMINSA\Scripts\ITSVIH\dbo.usp_TRAMA_BASE_ITS_VIH_RPT12_POBLACION_GENERAL_TAMIZAJE_SIFILIS_2019.StoredProcedure.sql -o C:\HISMINSA\Resultados\dbo.usp_TRAMA_BASE_ITS_VIH_RPT12_POBLACION_GENERAL_TAMIZAJE_SIFILIS_2019.StoredProcedure.txt &amp; @echo Script  ejecutado en la Base de datos UEIHNE01/SQLEXPRESS/BDHIS_MINSA</v>
      </c>
    </row>
    <row r="19" spans="1:9" ht="43.5" customHeight="1" thickBot="1" x14ac:dyDescent="0.25">
      <c r="A19" s="4" t="s">
        <v>78</v>
      </c>
      <c r="B19" s="4" t="str">
        <f>IF(MENU!$B$6="","INGRESE SERVIDOR",MENU!$B$6)</f>
        <v>UEIHNE01</v>
      </c>
      <c r="C19" s="13" t="str">
        <f>IF(MENU!$D$6="","",MENU!$D$6)</f>
        <v>SQLEXPRESS</v>
      </c>
      <c r="D19" s="5" t="str">
        <f>IF(MENU!$C$6="","INGRESE BASE",MENU!$C$6)</f>
        <v>BDHIS_MINSA</v>
      </c>
      <c r="E19" s="13" t="str">
        <f>IF(MENU!$C$9="","",MENU!$C$9)</f>
        <v/>
      </c>
      <c r="F19" s="13" t="str">
        <f>IF(MENU!$D$9="","",MENU!$D$9)</f>
        <v/>
      </c>
      <c r="G19" s="8" t="s">
        <v>198</v>
      </c>
      <c r="H19" s="5" t="str">
        <f t="shared" si="0"/>
        <v>@echo Script  ejecutado en la Base de datos UEIHNE01/SQLEXPRESS/BDHIS_MINSA</v>
      </c>
      <c r="I19" s="4" t="str">
        <f>IF(OR(E19="",F19=""),IF(C19="",IF(G19="","",(CONCATENATE("sqlcmd -E -S ",B19," -d ",D19," -i ",MENU!$E$6,A19,"\",G19,".sql -o ",MENU!$B$9,G19, ".txt &amp; ",H19))),IF(G19="","",(CONCATENATE("sqlcmd -E -S ",B19,"\",C19," -d ",D19," -i ",MENU!$E$6,A19,"\",G19,".sql -o ",MENU!$B$9,G19, ".txt &amp; ",H19)))),IF(C19="",IF(G19="","",(CONCATENATE("sqlcmd -S ",B19," -d ",D19," -U ",E19," -P ",F19," -i ",MENU!$E$6,A19,"\",G19,".sql -o ",MENU!$B$9,G19, ".txt &amp; ",H19))),IF(G19="","",(CONCATENATE("sqlcmd -S ",B19,"\",C19," -d ",D19," -U ",E19," -P ",F19," -i ",MENU!$E$6,A19,"\",G19,".sql -o ",MENU!$B$9,G19, ".txt &amp; ",H19)))))</f>
        <v>sqlcmd -E -S UEIHNE01\SQLEXPRESS -d BDHIS_MINSA -i C:\HISMINSA\Scripts\ITSVIH\dbo.usp_TRAMA_BASE_ITS_VIH_RPT13_POBLACION_CLAVE_TAMIZAJE_SIFILIS_2019.StoredProcedure.sql -o C:\HISMINSA\Resultados\dbo.usp_TRAMA_BASE_ITS_VIH_RPT13_POBLACION_CLAVE_TAMIZAJE_SIFILIS_2019.StoredProcedure.txt &amp; @echo Script  ejecutado en la Base de datos UEIHNE01/SQLEXPRESS/BDHIS_MINSA</v>
      </c>
    </row>
    <row r="20" spans="1:9" ht="43.5" customHeight="1" thickBot="1" x14ac:dyDescent="0.25">
      <c r="A20" s="4" t="s">
        <v>78</v>
      </c>
      <c r="B20" s="4" t="str">
        <f>IF(MENU!$B$6="","INGRESE SERVIDOR",MENU!$B$6)</f>
        <v>UEIHNE01</v>
      </c>
      <c r="C20" s="13" t="str">
        <f>IF(MENU!$D$6="","",MENU!$D$6)</f>
        <v>SQLEXPRESS</v>
      </c>
      <c r="D20" s="5" t="str">
        <f>IF(MENU!$C$6="","INGRESE BASE",MENU!$C$6)</f>
        <v>BDHIS_MINSA</v>
      </c>
      <c r="E20" s="13" t="str">
        <f>IF(MENU!$C$9="","",MENU!$C$9)</f>
        <v/>
      </c>
      <c r="F20" s="13" t="str">
        <f>IF(MENU!$D$9="","",MENU!$D$9)</f>
        <v/>
      </c>
      <c r="G20" s="8" t="s">
        <v>199</v>
      </c>
      <c r="H20" s="5" t="str">
        <f t="shared" si="0"/>
        <v>@echo Script  ejecutado en la Base de datos UEIHNE01/SQLEXPRESS/BDHIS_MINSA</v>
      </c>
      <c r="I20" s="4" t="str">
        <f>IF(OR(E20="",F20=""),IF(C20="",IF(G20="","",(CONCATENATE("sqlcmd -E -S ",B20," -d ",D20," -i ",MENU!$E$6,A20,"\",G20,".sql -o ",MENU!$B$9,G20, ".txt &amp; ",H20))),IF(G20="","",(CONCATENATE("sqlcmd -E -S ",B20,"\",C20," -d ",D20," -i ",MENU!$E$6,A20,"\",G20,".sql -o ",MENU!$B$9,G20, ".txt &amp; ",H20)))),IF(C20="",IF(G20="","",(CONCATENATE("sqlcmd -S ",B20," -d ",D20," -U ",E20," -P ",F20," -i ",MENU!$E$6,A20,"\",G20,".sql -o ",MENU!$B$9,G20, ".txt &amp; ",H20))),IF(G20="","",(CONCATENATE("sqlcmd -S ",B20,"\",C20," -d ",D20," -U ",E20," -P ",F20," -i ",MENU!$E$6,A20,"\",G20,".sql -o ",MENU!$B$9,G20, ".txt &amp; ",H20)))))</f>
        <v>sqlcmd -E -S UEIHNE01\SQLEXPRESS -d BDHIS_MINSA -i C:\HISMINSA\Scripts\ITSVIH\dbo.usp_TRAMA_BASE_ITS_VIH_RPT13_POBLACION_CLAVE_TS_SIFILIS_2019.StoredProcedure.sql -o C:\HISMINSA\Resultados\dbo.usp_TRAMA_BASE_ITS_VIH_RPT13_POBLACION_CLAVE_TS_SIFILIS_2019.StoredProcedure.txt &amp; @echo Script  ejecutado en la Base de datos UEIHNE01/SQLEXPRESS/BDHIS_MINSA</v>
      </c>
    </row>
    <row r="21" spans="1:9" ht="43.5" customHeight="1" thickBot="1" x14ac:dyDescent="0.25">
      <c r="A21" s="4" t="s">
        <v>78</v>
      </c>
      <c r="B21" s="4" t="str">
        <f>IF(MENU!$B$6="","INGRESE SERVIDOR",MENU!$B$6)</f>
        <v>UEIHNE01</v>
      </c>
      <c r="C21" s="13" t="str">
        <f>IF(MENU!$D$6="","",MENU!$D$6)</f>
        <v>SQLEXPRESS</v>
      </c>
      <c r="D21" s="5" t="str">
        <f>IF(MENU!$C$6="","INGRESE BASE",MENU!$C$6)</f>
        <v>BDHIS_MINSA</v>
      </c>
      <c r="E21" s="13" t="str">
        <f>IF(MENU!$C$9="","",MENU!$C$9)</f>
        <v/>
      </c>
      <c r="F21" s="13" t="str">
        <f>IF(MENU!$D$9="","",MENU!$D$9)</f>
        <v/>
      </c>
      <c r="G21" s="8" t="s">
        <v>200</v>
      </c>
      <c r="H21" s="5" t="str">
        <f t="shared" si="0"/>
        <v>@echo Script  ejecutado en la Base de datos UEIHNE01/SQLEXPRESS/BDHIS_MINSA</v>
      </c>
      <c r="I21" s="4" t="str">
        <f>IF(OR(E21="",F21=""),IF(C21="",IF(G21="","",(CONCATENATE("sqlcmd -E -S ",B21," -d ",D21," -i ",MENU!$E$6,A21,"\",G21,".sql -o ",MENU!$B$9,G21, ".txt &amp; ",H21))),IF(G21="","",(CONCATENATE("sqlcmd -E -S ",B21,"\",C21," -d ",D21," -i ",MENU!$E$6,A21,"\",G21,".sql -o ",MENU!$B$9,G21, ".txt &amp; ",H21)))),IF(C21="",IF(G21="","",(CONCATENATE("sqlcmd -S ",B21," -d ",D21," -U ",E21," -P ",F21," -i ",MENU!$E$6,A21,"\",G21,".sql -o ",MENU!$B$9,G21, ".txt &amp; ",H21))),IF(G21="","",(CONCATENATE("sqlcmd -S ",B21,"\",C21," -d ",D21," -U ",E21," -P ",F21," -i ",MENU!$E$6,A21,"\",G21,".sql -o ",MENU!$B$9,G21, ".txt &amp; ",H21)))))</f>
        <v>sqlcmd -E -S UEIHNE01\SQLEXPRESS -d BDHIS_MINSA -i C:\HISMINSA\Scripts\ITSVIH\dbo.usp_TRAMA_BASE_ITS_VIH_RPT14_POBLACION_CLAVE_TAMIZAJE_VIH_2019.StoredProcedure.sql -o C:\HISMINSA\Resultados\dbo.usp_TRAMA_BASE_ITS_VIH_RPT14_POBLACION_CLAVE_TAMIZAJE_VIH_2019.StoredProcedure.txt &amp; @echo Script  ejecutado en la Base de datos UEIHNE01/SQLEXPRESS/BDHIS_MINSA</v>
      </c>
    </row>
    <row r="22" spans="1:9" ht="43.5" customHeight="1" thickBot="1" x14ac:dyDescent="0.25">
      <c r="A22" s="4" t="s">
        <v>78</v>
      </c>
      <c r="B22" s="4" t="str">
        <f>IF(MENU!$B$6="","INGRESE SERVIDOR",MENU!$B$6)</f>
        <v>UEIHNE01</v>
      </c>
      <c r="C22" s="13" t="str">
        <f>IF(MENU!$D$6="","",MENU!$D$6)</f>
        <v>SQLEXPRESS</v>
      </c>
      <c r="D22" s="5" t="str">
        <f>IF(MENU!$C$6="","INGRESE BASE",MENU!$C$6)</f>
        <v>BDHIS_MINSA</v>
      </c>
      <c r="E22" s="13" t="str">
        <f>IF(MENU!$C$9="","",MENU!$C$9)</f>
        <v/>
      </c>
      <c r="F22" s="13" t="str">
        <f>IF(MENU!$D$9="","",MENU!$D$9)</f>
        <v/>
      </c>
      <c r="G22" s="8" t="s">
        <v>201</v>
      </c>
      <c r="H22" s="5" t="str">
        <f t="shared" si="0"/>
        <v>@echo Script  ejecutado en la Base de datos UEIHNE01/SQLEXPRESS/BDHIS_MINSA</v>
      </c>
      <c r="I22" s="4" t="str">
        <f>IF(OR(E22="",F22=""),IF(C22="",IF(G22="","",(CONCATENATE("sqlcmd -E -S ",B22," -d ",D22," -i ",MENU!$E$6,A22,"\",G22,".sql -o ",MENU!$B$9,G22, ".txt &amp; ",H22))),IF(G22="","",(CONCATENATE("sqlcmd -E -S ",B22,"\",C22," -d ",D22," -i ",MENU!$E$6,A22,"\",G22,".sql -o ",MENU!$B$9,G22, ".txt &amp; ",H22)))),IF(C22="",IF(G22="","",(CONCATENATE("sqlcmd -S ",B22," -d ",D22," -U ",E22," -P ",F22," -i ",MENU!$E$6,A22,"\",G22,".sql -o ",MENU!$B$9,G22, ".txt &amp; ",H22))),IF(G22="","",(CONCATENATE("sqlcmd -S ",B22,"\",C22," -d ",D22," -U ",E22," -P ",F22," -i ",MENU!$E$6,A22,"\",G22,".sql -o ",MENU!$B$9,G22, ".txt &amp; ",H22)))))</f>
        <v>sqlcmd -E -S UEIHNE01\SQLEXPRESS -d BDHIS_MINSA -i C:\HISMINSA\Scripts\ITSVIH\dbo.usp_TRAMA_BASE_ITS_VIH_RPT15_01_POBLACION_CLAVE_ITS_TS_TRATADOS_2019.StoredProcedure.sql -o C:\HISMINSA\Resultados\dbo.usp_TRAMA_BASE_ITS_VIH_RPT15_01_POBLACION_CLAVE_ITS_TS_TRATADOS_2019.StoredProcedure.txt &amp; @echo Script  ejecutado en la Base de datos UEIHNE01/SQLEXPRESS/BDHIS_MINSA</v>
      </c>
    </row>
    <row r="23" spans="1:9" ht="43.5" customHeight="1" thickBot="1" x14ac:dyDescent="0.25">
      <c r="A23" s="4" t="s">
        <v>78</v>
      </c>
      <c r="B23" s="4" t="str">
        <f>IF(MENU!$B$6="","INGRESE SERVIDOR",MENU!$B$6)</f>
        <v>UEIHNE01</v>
      </c>
      <c r="C23" s="13" t="str">
        <f>IF(MENU!$D$6="","",MENU!$D$6)</f>
        <v>SQLEXPRESS</v>
      </c>
      <c r="D23" s="5" t="str">
        <f>IF(MENU!$C$6="","INGRESE BASE",MENU!$C$6)</f>
        <v>BDHIS_MINSA</v>
      </c>
      <c r="E23" s="13" t="str">
        <f>IF(MENU!$C$9="","",MENU!$C$9)</f>
        <v/>
      </c>
      <c r="F23" s="13" t="str">
        <f>IF(MENU!$D$9="","",MENU!$D$9)</f>
        <v/>
      </c>
      <c r="G23" s="8" t="s">
        <v>202</v>
      </c>
      <c r="H23" s="5" t="str">
        <f t="shared" si="0"/>
        <v>@echo Script  ejecutado en la Base de datos UEIHNE01/SQLEXPRESS/BDHIS_MINSA</v>
      </c>
      <c r="I23" s="4" t="str">
        <f>IF(OR(E23="",F23=""),IF(C23="",IF(G23="","",(CONCATENATE("sqlcmd -E -S ",B23," -d ",D23," -i ",MENU!$E$6,A23,"\",G23,".sql -o ",MENU!$B$9,G23, ".txt &amp; ",H23))),IF(G23="","",(CONCATENATE("sqlcmd -E -S ",B23,"\",C23," -d ",D23," -i ",MENU!$E$6,A23,"\",G23,".sql -o ",MENU!$B$9,G23, ".txt &amp; ",H23)))),IF(C23="",IF(G23="","",(CONCATENATE("sqlcmd -S ",B23," -d ",D23," -U ",E23," -P ",F23," -i ",MENU!$E$6,A23,"\",G23,".sql -o ",MENU!$B$9,G23, ".txt &amp; ",H23))),IF(G23="","",(CONCATENATE("sqlcmd -S ",B23,"\",C23," -d ",D23," -U ",E23," -P ",F23," -i ",MENU!$E$6,A23,"\",G23,".sql -o ",MENU!$B$9,G23, ".txt &amp; ",H23)))))</f>
        <v>sqlcmd -E -S UEIHNE01\SQLEXPRESS -d BDHIS_MINSA -i C:\HISMINSA\Scripts\ITSVIH\dbo.usp_TRAMA_BASE_ITS_VIH_RPT15_POBLACION_CLAVE_ITS_TS_2019.StoredProcedure.sql -o C:\HISMINSA\Resultados\dbo.usp_TRAMA_BASE_ITS_VIH_RPT15_POBLACION_CLAVE_ITS_TS_2019.StoredProcedure.txt &amp; @echo Script  ejecutado en la Base de datos UEIHNE01/SQLEXPRESS/BDHIS_MINSA</v>
      </c>
    </row>
    <row r="24" spans="1:9" ht="43.5" customHeight="1" thickBot="1" x14ac:dyDescent="0.25">
      <c r="A24" s="4" t="s">
        <v>78</v>
      </c>
      <c r="B24" s="4" t="str">
        <f>IF(MENU!$B$6="","INGRESE SERVIDOR",MENU!$B$6)</f>
        <v>UEIHNE01</v>
      </c>
      <c r="C24" s="13" t="str">
        <f>IF(MENU!$D$6="","",MENU!$D$6)</f>
        <v>SQLEXPRESS</v>
      </c>
      <c r="D24" s="5" t="str">
        <f>IF(MENU!$C$6="","INGRESE BASE",MENU!$C$6)</f>
        <v>BDHIS_MINSA</v>
      </c>
      <c r="E24" s="13" t="str">
        <f>IF(MENU!$C$9="","",MENU!$C$9)</f>
        <v/>
      </c>
      <c r="F24" s="13" t="str">
        <f>IF(MENU!$D$9="","",MENU!$D$9)</f>
        <v/>
      </c>
      <c r="G24" s="8" t="s">
        <v>203</v>
      </c>
      <c r="H24" s="5" t="str">
        <f t="shared" si="0"/>
        <v>@echo Script  ejecutado en la Base de datos UEIHNE01/SQLEXPRESS/BDHIS_MINSA</v>
      </c>
      <c r="I24" s="4" t="str">
        <f>IF(OR(E24="",F24=""),IF(C24="",IF(G24="","",(CONCATENATE("sqlcmd -E -S ",B24," -d ",D24," -i ",MENU!$E$6,A24,"\",G24,".sql -o ",MENU!$B$9,G24, ".txt &amp; ",H24))),IF(G24="","",(CONCATENATE("sqlcmd -E -S ",B24,"\",C24," -d ",D24," -i ",MENU!$E$6,A24,"\",G24,".sql -o ",MENU!$B$9,G24, ".txt &amp; ",H24)))),IF(C24="",IF(G24="","",(CONCATENATE("sqlcmd -S ",B24," -d ",D24," -U ",E24," -P ",F24," -i ",MENU!$E$6,A24,"\",G24,".sql -o ",MENU!$B$9,G24, ".txt &amp; ",H24))),IF(G24="","",(CONCATENATE("sqlcmd -S ",B24,"\",C24," -d ",D24," -U ",E24," -P ",F24," -i ",MENU!$E$6,A24,"\",G24,".sql -o ",MENU!$B$9,G24, ".txt &amp; ",H24)))))</f>
        <v>sqlcmd -E -S UEIHNE01\SQLEXPRESS -d BDHIS_MINSA -i C:\HISMINSA\Scripts\ITSVIH\dbo.usp_TRAMA_BASE_ITS_VIH_RPT16_01_POBLACION_CLAVE_ITS_TRANS_TRATADOS_2019.StoredProcedure.sql -o C:\HISMINSA\Resultados\dbo.usp_TRAMA_BASE_ITS_VIH_RPT16_01_POBLACION_CLAVE_ITS_TRANS_TRATADOS_2019.StoredProcedure.txt &amp; @echo Script  ejecutado en la Base de datos UEIHNE01/SQLEXPRESS/BDHIS_MINSA</v>
      </c>
    </row>
    <row r="25" spans="1:9" ht="43.5" customHeight="1" thickBot="1" x14ac:dyDescent="0.25">
      <c r="A25" s="4" t="s">
        <v>78</v>
      </c>
      <c r="B25" s="4" t="str">
        <f>IF(MENU!$B$6="","INGRESE SERVIDOR",MENU!$B$6)</f>
        <v>UEIHNE01</v>
      </c>
      <c r="C25" s="13" t="str">
        <f>IF(MENU!$D$6="","",MENU!$D$6)</f>
        <v>SQLEXPRESS</v>
      </c>
      <c r="D25" s="5" t="str">
        <f>IF(MENU!$C$6="","INGRESE BASE",MENU!$C$6)</f>
        <v>BDHIS_MINSA</v>
      </c>
      <c r="E25" s="13" t="str">
        <f>IF(MENU!$C$9="","",MENU!$C$9)</f>
        <v/>
      </c>
      <c r="F25" s="13" t="str">
        <f>IF(MENU!$D$9="","",MENU!$D$9)</f>
        <v/>
      </c>
      <c r="G25" s="8" t="s">
        <v>204</v>
      </c>
      <c r="H25" s="5" t="str">
        <f t="shared" si="0"/>
        <v>@echo Script  ejecutado en la Base de datos UEIHNE01/SQLEXPRESS/BDHIS_MINSA</v>
      </c>
      <c r="I25" s="4" t="str">
        <f>IF(OR(E25="",F25=""),IF(C25="",IF(G25="","",(CONCATENATE("sqlcmd -E -S ",B25," -d ",D25," -i ",MENU!$E$6,A25,"\",G25,".sql -o ",MENU!$B$9,G25, ".txt &amp; ",H25))),IF(G25="","",(CONCATENATE("sqlcmd -E -S ",B25,"\",C25," -d ",D25," -i ",MENU!$E$6,A25,"\",G25,".sql -o ",MENU!$B$9,G25, ".txt &amp; ",H25)))),IF(C25="",IF(G25="","",(CONCATENATE("sqlcmd -S ",B25," -d ",D25," -U ",E25," -P ",F25," -i ",MENU!$E$6,A25,"\",G25,".sql -o ",MENU!$B$9,G25, ".txt &amp; ",H25))),IF(G25="","",(CONCATENATE("sqlcmd -S ",B25,"\",C25," -d ",D25," -U ",E25," -P ",F25," -i ",MENU!$E$6,A25,"\",G25,".sql -o ",MENU!$B$9,G25, ".txt &amp; ",H25)))))</f>
        <v>sqlcmd -E -S UEIHNE01\SQLEXPRESS -d BDHIS_MINSA -i C:\HISMINSA\Scripts\ITSVIH\dbo.usp_TRAMA_BASE_ITS_VIH_RPT16_POBLACION_CLAVE_ITS_TRANS_2019.StoredProcedure.sql -o C:\HISMINSA\Resultados\dbo.usp_TRAMA_BASE_ITS_VIH_RPT16_POBLACION_CLAVE_ITS_TRANS_2019.StoredProcedure.txt &amp; @echo Script  ejecutado en la Base de datos UEIHNE01/SQLEXPRESS/BDHIS_MINSA</v>
      </c>
    </row>
    <row r="26" spans="1:9" ht="43.5" customHeight="1" thickBot="1" x14ac:dyDescent="0.25">
      <c r="A26" s="4" t="s">
        <v>78</v>
      </c>
      <c r="B26" s="4" t="str">
        <f>IF(MENU!$B$6="","INGRESE SERVIDOR",MENU!$B$6)</f>
        <v>UEIHNE01</v>
      </c>
      <c r="C26" s="13" t="str">
        <f>IF(MENU!$D$6="","",MENU!$D$6)</f>
        <v>SQLEXPRESS</v>
      </c>
      <c r="D26" s="5" t="str">
        <f>IF(MENU!$C$6="","INGRESE BASE",MENU!$C$6)</f>
        <v>BDHIS_MINSA</v>
      </c>
      <c r="E26" s="13" t="str">
        <f>IF(MENU!$C$9="","",MENU!$C$9)</f>
        <v/>
      </c>
      <c r="F26" s="13" t="str">
        <f>IF(MENU!$D$9="","",MENU!$D$9)</f>
        <v/>
      </c>
      <c r="G26" s="8" t="s">
        <v>205</v>
      </c>
      <c r="H26" s="5" t="str">
        <f t="shared" si="0"/>
        <v>@echo Script  ejecutado en la Base de datos UEIHNE01/SQLEXPRESS/BDHIS_MINSA</v>
      </c>
      <c r="I26" s="4" t="str">
        <f>IF(OR(E26="",F26=""),IF(C26="",IF(G26="","",(CONCATENATE("sqlcmd -E -S ",B26," -d ",D26," -i ",MENU!$E$6,A26,"\",G26,".sql -o ",MENU!$B$9,G26, ".txt &amp; ",H26))),IF(G26="","",(CONCATENATE("sqlcmd -E -S ",B26,"\",C26," -d ",D26," -i ",MENU!$E$6,A26,"\",G26,".sql -o ",MENU!$B$9,G26, ".txt &amp; ",H26)))),IF(C26="",IF(G26="","",(CONCATENATE("sqlcmd -S ",B26," -d ",D26," -U ",E26," -P ",F26," -i ",MENU!$E$6,A26,"\",G26,".sql -o ",MENU!$B$9,G26, ".txt &amp; ",H26))),IF(G26="","",(CONCATENATE("sqlcmd -S ",B26,"\",C26," -d ",D26," -U ",E26," -P ",F26," -i ",MENU!$E$6,A26,"\",G26,".sql -o ",MENU!$B$9,G26, ".txt &amp; ",H26)))))</f>
        <v>sqlcmd -E -S UEIHNE01\SQLEXPRESS -d BDHIS_MINSA -i C:\HISMINSA\Scripts\ITSVIH\dbo.usp_TRAMA_BASE_ITS_VIH_RPT17_POBLACION_CLAVE_HSH_TRANS_MOVILES_2019.StoredProcedure.sql -o C:\HISMINSA\Resultados\dbo.usp_TRAMA_BASE_ITS_VIH_RPT17_POBLACION_CLAVE_HSH_TRANS_MOVILES_2019.StoredProcedure.txt &amp; @echo Script  ejecutado en la Base de datos UEIHNE01/SQLEXPRESS/BDHIS_MINSA</v>
      </c>
    </row>
    <row r="27" spans="1:9" ht="43.5" customHeight="1" thickBot="1" x14ac:dyDescent="0.25">
      <c r="A27" s="4" t="s">
        <v>78</v>
      </c>
      <c r="B27" s="4" t="str">
        <f>IF(MENU!$B$6="","INGRESE SERVIDOR",MENU!$B$6)</f>
        <v>UEIHNE01</v>
      </c>
      <c r="C27" s="13" t="str">
        <f>IF(MENU!$D$6="","",MENU!$D$6)</f>
        <v>SQLEXPRESS</v>
      </c>
      <c r="D27" s="5" t="str">
        <f>IF(MENU!$C$6="","INGRESE BASE",MENU!$C$6)</f>
        <v>BDHIS_MINSA</v>
      </c>
      <c r="E27" s="13" t="str">
        <f>IF(MENU!$C$9="","",MENU!$C$9)</f>
        <v/>
      </c>
      <c r="F27" s="13" t="str">
        <f>IF(MENU!$D$9="","",MENU!$D$9)</f>
        <v/>
      </c>
      <c r="G27" s="8" t="s">
        <v>206</v>
      </c>
      <c r="H27" s="5" t="str">
        <f t="shared" si="0"/>
        <v>@echo Script  ejecutado en la Base de datos UEIHNE01/SQLEXPRESS/BDHIS_MINSA</v>
      </c>
      <c r="I27" s="4" t="str">
        <f>IF(OR(E27="",F27=""),IF(C27="",IF(G27="","",(CONCATENATE("sqlcmd -E -S ",B27," -d ",D27," -i ",MENU!$E$6,A27,"\",G27,".sql -o ",MENU!$B$9,G27, ".txt &amp; ",H27))),IF(G27="","",(CONCATENATE("sqlcmd -E -S ",B27,"\",C27," -d ",D27," -i ",MENU!$E$6,A27,"\",G27,".sql -o ",MENU!$B$9,G27, ".txt &amp; ",H27)))),IF(C27="",IF(G27="","",(CONCATENATE("sqlcmd -S ",B27," -d ",D27," -U ",E27," -P ",F27," -i ",MENU!$E$6,A27,"\",G27,".sql -o ",MENU!$B$9,G27, ".txt &amp; ",H27))),IF(G27="","",(CONCATENATE("sqlcmd -S ",B27,"\",C27," -d ",D27," -U ",E27," -P ",F27," -i ",MENU!$E$6,A27,"\",G27,".sql -o ",MENU!$B$9,G27, ".txt &amp; ",H27)))))</f>
        <v>sqlcmd -E -S UEIHNE01\SQLEXPRESS -d BDHIS_MINSA -i C:\HISMINSA\Scripts\ITSVIH\dbo.usp_TRAMA_BASE_ITS_VIH_RPT18_POBLACION_CLAVE_TS_MOVILES_2019.StoredProcedure.sql -o C:\HISMINSA\Resultados\dbo.usp_TRAMA_BASE_ITS_VIH_RPT18_POBLACION_CLAVE_TS_MOVILES_2019.StoredProcedure.txt &amp; @echo Script  ejecutado en la Base de datos UEIHNE01/SQLEXPRESS/BDHIS_MINSA</v>
      </c>
    </row>
    <row r="28" spans="1:9" ht="43.5" customHeight="1" thickBot="1" x14ac:dyDescent="0.25">
      <c r="A28" s="4" t="s">
        <v>63</v>
      </c>
      <c r="B28" s="4" t="str">
        <f>IF(MENU!$B$6="","INGRESE SERVIDOR",MENU!$B$6)</f>
        <v>UEIHNE01</v>
      </c>
      <c r="C28" s="13" t="str">
        <f>IF(MENU!$D$6="","",MENU!$D$6)</f>
        <v>SQLEXPRESS</v>
      </c>
      <c r="D28" s="5" t="str">
        <f>IF(MENU!$C$6="","INGRESE BASE",MENU!$C$6)</f>
        <v>BDHIS_MINSA</v>
      </c>
      <c r="E28" s="13" t="str">
        <f>IF(MENU!$C$9="","",MENU!$C$9)</f>
        <v/>
      </c>
      <c r="F28" s="13" t="str">
        <f>IF(MENU!$D$9="","",MENU!$D$9)</f>
        <v/>
      </c>
      <c r="G28" s="16" t="s">
        <v>208</v>
      </c>
      <c r="H28" s="5" t="str">
        <f t="shared" ref="H28:H42" si="1">IF(C28="",CONCATENATE("@echo Script ",G28, ".sql ejecutado en la Base de datos ", B28,"/",D28),CONCATENATE("@echo Script ",E28, " ejecutado en la Base de datos ", B28,"/",C28,"/",D28))</f>
        <v>@echo Script  ejecutado en la Base de datos UEIHNE01/SQLEXPRESS/BDHIS_MINSA</v>
      </c>
      <c r="I28" s="4" t="str">
        <f>IF(OR(E28="",F28=""),IF(C28="",IF(G28="","",(CONCATENATE("sqlcmd -E -S ",B28," -d ",D28," -i ",MENU!$E$6,A28,"\",G28,".sql -o ",MENU!$B$9,G28, ".txt &amp; ",H28))),IF(G28="","",(CONCATENATE("sqlcmd -E -S ",B28,"\",C28," -d ",D28," -i ",MENU!$E$6,A28,"\",G28,".sql -o ",MENU!$B$9,G28, ".txt &amp; ",H28)))),IF(C28="",IF(G28="","",(CONCATENATE("sqlcmd -S ",B28," -d ",D28," -U ",E28," -P ",F28," -i ",MENU!$E$6,A28,"\",G28,".sql -o ",MENU!$B$9,G28, ".txt &amp; ",H28))),IF(G28="","",(CONCATENATE("sqlcmd -S ",B28,"\",C28," -d ",D28," -U ",E28," -P ",F28," -i ",MENU!$E$6,A28,"\",G28,".sql -o ",MENU!$B$9,G28, ".txt &amp; ",H28)))))</f>
        <v>sqlcmd -E -S UEIHNE01\SQLEXPRESS -d BDHIS_MINSA -i C:\HISMINSA\Scripts\ESNI\dbo.usp_TRAMA_BASE_ESNI_RPT_01_REPORTE_A_2019.StoredProcedure.sql -o C:\HISMINSA\Resultados\dbo.usp_TRAMA_BASE_ESNI_RPT_01_REPORTE_A_2019.StoredProcedure.txt &amp; @echo Script  ejecutado en la Base de datos UEIHNE01/SQLEXPRESS/BDHIS_MINSA</v>
      </c>
    </row>
    <row r="29" spans="1:9" ht="43.5" customHeight="1" thickBot="1" x14ac:dyDescent="0.25">
      <c r="A29" s="4" t="s">
        <v>63</v>
      </c>
      <c r="B29" s="4" t="str">
        <f>IF(MENU!$B$6="","INGRESE SERVIDOR",MENU!$B$6)</f>
        <v>UEIHNE01</v>
      </c>
      <c r="C29" s="13" t="str">
        <f>IF(MENU!$D$6="","",MENU!$D$6)</f>
        <v>SQLEXPRESS</v>
      </c>
      <c r="D29" s="5" t="str">
        <f>IF(MENU!$C$6="","INGRESE BASE",MENU!$C$6)</f>
        <v>BDHIS_MINSA</v>
      </c>
      <c r="E29" s="13" t="str">
        <f>IF(MENU!$C$9="","",MENU!$C$9)</f>
        <v/>
      </c>
      <c r="F29" s="13" t="str">
        <f>IF(MENU!$D$9="","",MENU!$D$9)</f>
        <v/>
      </c>
      <c r="G29" s="16" t="s">
        <v>209</v>
      </c>
      <c r="H29" s="5" t="str">
        <f t="shared" si="1"/>
        <v>@echo Script  ejecutado en la Base de datos UEIHNE01/SQLEXPRESS/BDHIS_MINSA</v>
      </c>
      <c r="I29" s="4" t="str">
        <f>IF(OR(E29="",F29=""),IF(C29="",IF(G29="","",(CONCATENATE("sqlcmd -E -S ",B29," -d ",D29," -i ",MENU!$E$6,A29,"\",G29,".sql -o ",MENU!$B$9,G29, ".txt &amp; ",H29))),IF(G29="","",(CONCATENATE("sqlcmd -E -S ",B29,"\",C29," -d ",D29," -i ",MENU!$E$6,A29,"\",G29,".sql -o ",MENU!$B$9,G29, ".txt &amp; ",H29)))),IF(C29="",IF(G29="","",(CONCATENATE("sqlcmd -S ",B29," -d ",D29," -U ",E29," -P ",F29," -i ",MENU!$E$6,A29,"\",G29,".sql -o ",MENU!$B$9,G29, ".txt &amp; ",H29))),IF(G29="","",(CONCATENATE("sqlcmd -S ",B29,"\",C29," -d ",D29," -U ",E29," -P ",F29," -i ",MENU!$E$6,A29,"\",G29,".sql -o ",MENU!$B$9,G29, ".txt &amp; ",H29)))))</f>
        <v>sqlcmd -E -S UEIHNE01\SQLEXPRESS -d BDHIS_MINSA -i C:\HISMINSA\Scripts\ESNI\dbo.usp_TRAMA_BASE_ESNI_RPT_02_REPORTE_B_2019.StoredProcedure.sql -o C:\HISMINSA\Resultados\dbo.usp_TRAMA_BASE_ESNI_RPT_02_REPORTE_B_2019.StoredProcedure.txt &amp; @echo Script  ejecutado en la Base de datos UEIHNE01/SQLEXPRESS/BDHIS_MINSA</v>
      </c>
    </row>
    <row r="30" spans="1:9" ht="43.5" customHeight="1" thickBot="1" x14ac:dyDescent="0.25">
      <c r="A30" s="4" t="s">
        <v>63</v>
      </c>
      <c r="B30" s="4" t="str">
        <f>IF(MENU!$B$6="","INGRESE SERVIDOR",MENU!$B$6)</f>
        <v>UEIHNE01</v>
      </c>
      <c r="C30" s="13" t="str">
        <f>IF(MENU!$D$6="","",MENU!$D$6)</f>
        <v>SQLEXPRESS</v>
      </c>
      <c r="D30" s="5" t="str">
        <f>IF(MENU!$C$6="","INGRESE BASE",MENU!$C$6)</f>
        <v>BDHIS_MINSA</v>
      </c>
      <c r="E30" s="13" t="str">
        <f>IF(MENU!$C$9="","",MENU!$C$9)</f>
        <v/>
      </c>
      <c r="F30" s="13" t="str">
        <f>IF(MENU!$D$9="","",MENU!$D$9)</f>
        <v/>
      </c>
      <c r="G30" s="16" t="s">
        <v>210</v>
      </c>
      <c r="H30" s="5" t="str">
        <f t="shared" si="1"/>
        <v>@echo Script  ejecutado en la Base de datos UEIHNE01/SQLEXPRESS/BDHIS_MINSA</v>
      </c>
      <c r="I30" s="4" t="str">
        <f>IF(OR(E30="",F30=""),IF(C30="",IF(G30="","",(CONCATENATE("sqlcmd -E -S ",B30," -d ",D30," -i ",MENU!$E$6,A30,"\",G30,".sql -o ",MENU!$B$9,G30, ".txt &amp; ",H30))),IF(G30="","",(CONCATENATE("sqlcmd -E -S ",B30,"\",C30," -d ",D30," -i ",MENU!$E$6,A30,"\",G30,".sql -o ",MENU!$B$9,G30, ".txt &amp; ",H30)))),IF(C30="",IF(G30="","",(CONCATENATE("sqlcmd -S ",B30," -d ",D30," -U ",E30," -P ",F30," -i ",MENU!$E$6,A30,"\",G30,".sql -o ",MENU!$B$9,G30, ".txt &amp; ",H30))),IF(G30="","",(CONCATENATE("sqlcmd -S ",B30,"\",C30," -d ",D30," -U ",E30," -P ",F30," -i ",MENU!$E$6,A30,"\",G30,".sql -o ",MENU!$B$9,G30, ".txt &amp; ",H30)))))</f>
        <v>sqlcmd -E -S UEIHNE01\SQLEXPRESS -d BDHIS_MINSA -i C:\HISMINSA\Scripts\ESNI\dbo.usp_TRAMA_BASE_ESNI_RPT_03_REPORTE_C_2019.StoredProcedure.sql -o C:\HISMINSA\Resultados\dbo.usp_TRAMA_BASE_ESNI_RPT_03_REPORTE_C_2019.StoredProcedure.txt &amp; @echo Script  ejecutado en la Base de datos UEIHNE01/SQLEXPRESS/BDHIS_MINSA</v>
      </c>
    </row>
    <row r="31" spans="1:9" ht="43.5" customHeight="1" thickBot="1" x14ac:dyDescent="0.25">
      <c r="A31" s="4" t="s">
        <v>63</v>
      </c>
      <c r="B31" s="4" t="str">
        <f>IF(MENU!$B$6="","INGRESE SERVIDOR",MENU!$B$6)</f>
        <v>UEIHNE01</v>
      </c>
      <c r="C31" s="13" t="str">
        <f>IF(MENU!$D$6="","",MENU!$D$6)</f>
        <v>SQLEXPRESS</v>
      </c>
      <c r="D31" s="5" t="str">
        <f>IF(MENU!$C$6="","INGRESE BASE",MENU!$C$6)</f>
        <v>BDHIS_MINSA</v>
      </c>
      <c r="E31" s="13" t="str">
        <f>IF(MENU!$C$9="","",MENU!$C$9)</f>
        <v/>
      </c>
      <c r="F31" s="13" t="str">
        <f>IF(MENU!$D$9="","",MENU!$D$9)</f>
        <v/>
      </c>
      <c r="G31" s="16" t="s">
        <v>211</v>
      </c>
      <c r="H31" s="5" t="str">
        <f t="shared" si="1"/>
        <v>@echo Script  ejecutado en la Base de datos UEIHNE01/SQLEXPRESS/BDHIS_MINSA</v>
      </c>
      <c r="I31" s="4" t="str">
        <f>IF(OR(E31="",F31=""),IF(C31="",IF(G31="","",(CONCATENATE("sqlcmd -E -S ",B31," -d ",D31," -i ",MENU!$E$6,A31,"\",G31,".sql -o ",MENU!$B$9,G31, ".txt &amp; ",H31))),IF(G31="","",(CONCATENATE("sqlcmd -E -S ",B31,"\",C31," -d ",D31," -i ",MENU!$E$6,A31,"\",G31,".sql -o ",MENU!$B$9,G31, ".txt &amp; ",H31)))),IF(C31="",IF(G31="","",(CONCATENATE("sqlcmd -S ",B31," -d ",D31," -U ",E31," -P ",F31," -i ",MENU!$E$6,A31,"\",G31,".sql -o ",MENU!$B$9,G31, ".txt &amp; ",H31))),IF(G31="","",(CONCATENATE("sqlcmd -S ",B31,"\",C31," -d ",D31," -U ",E31," -P ",F31," -i ",MENU!$E$6,A31,"\",G31,".sql -o ",MENU!$B$9,G31, ".txt &amp; ",H31)))))</f>
        <v>sqlcmd -E -S UEIHNE01\SQLEXPRESS -d BDHIS_MINSA -i C:\HISMINSA\Scripts\ESNI\dbo.usp_TRAMA_BASE_ESNI_RPT_04_REPORTE_H2_2019.StoredProcedure.sql -o C:\HISMINSA\Resultados\dbo.usp_TRAMA_BASE_ESNI_RPT_04_REPORTE_H2_2019.StoredProcedure.txt &amp; @echo Script  ejecutado en la Base de datos UEIHNE01/SQLEXPRESS/BDHIS_MINSA</v>
      </c>
    </row>
    <row r="32" spans="1:9" ht="43.5" customHeight="1" thickBot="1" x14ac:dyDescent="0.25">
      <c r="A32" s="4" t="s">
        <v>63</v>
      </c>
      <c r="B32" s="4" t="str">
        <f>IF(MENU!$B$6="","INGRESE SERVIDOR",MENU!$B$6)</f>
        <v>UEIHNE01</v>
      </c>
      <c r="C32" s="13" t="str">
        <f>IF(MENU!$D$6="","",MENU!$D$6)</f>
        <v>SQLEXPRESS</v>
      </c>
      <c r="D32" s="5" t="str">
        <f>IF(MENU!$C$6="","INGRESE BASE",MENU!$C$6)</f>
        <v>BDHIS_MINSA</v>
      </c>
      <c r="E32" s="13" t="str">
        <f>IF(MENU!$C$9="","",MENU!$C$9)</f>
        <v/>
      </c>
      <c r="F32" s="13" t="str">
        <f>IF(MENU!$D$9="","",MENU!$D$9)</f>
        <v/>
      </c>
      <c r="G32" s="16" t="s">
        <v>212</v>
      </c>
      <c r="H32" s="5" t="str">
        <f t="shared" si="1"/>
        <v>@echo Script  ejecutado en la Base de datos UEIHNE01/SQLEXPRESS/BDHIS_MINSA</v>
      </c>
      <c r="I32" s="4" t="str">
        <f>IF(OR(E32="",F32=""),IF(C32="",IF(G32="","",(CONCATENATE("sqlcmd -E -S ",B32," -d ",D32," -i ",MENU!$E$6,A32,"\",G32,".sql -o ",MENU!$B$9,G32, ".txt &amp; ",H32))),IF(G32="","",(CONCATENATE("sqlcmd -E -S ",B32,"\",C32," -d ",D32," -i ",MENU!$E$6,A32,"\",G32,".sql -o ",MENU!$B$9,G32, ".txt &amp; ",H32)))),IF(C32="",IF(G32="","",(CONCATENATE("sqlcmd -S ",B32," -d ",D32," -U ",E32," -P ",F32," -i ",MENU!$E$6,A32,"\",G32,".sql -o ",MENU!$B$9,G32, ".txt &amp; ",H32))),IF(G32="","",(CONCATENATE("sqlcmd -S ",B32,"\",C32," -d ",D32," -U ",E32," -P ",F32," -i ",MENU!$E$6,A32,"\",G32,".sql -o ",MENU!$B$9,G32, ".txt &amp; ",H32)))))</f>
        <v>sqlcmd -E -S UEIHNE01\SQLEXPRESS -d BDHIS_MINSA -i C:\HISMINSA\Scripts\ESNI\dbo.usp_TRAMA_BASE_ESNI_RPT_04_REPORTE_H_2019.StoredProcedure.sql -o C:\HISMINSA\Resultados\dbo.usp_TRAMA_BASE_ESNI_RPT_04_REPORTE_H_2019.StoredProcedure.txt &amp; @echo Script  ejecutado en la Base de datos UEIHNE01/SQLEXPRESS/BDHIS_MINSA</v>
      </c>
    </row>
    <row r="33" spans="1:9" ht="43.5" customHeight="1" thickBot="1" x14ac:dyDescent="0.25">
      <c r="A33" s="4" t="s">
        <v>63</v>
      </c>
      <c r="B33" s="4" t="str">
        <f>IF(MENU!$B$6="","INGRESE SERVIDOR",MENU!$B$6)</f>
        <v>UEIHNE01</v>
      </c>
      <c r="C33" s="13" t="str">
        <f>IF(MENU!$D$6="","",MENU!$D$6)</f>
        <v>SQLEXPRESS</v>
      </c>
      <c r="D33" s="5" t="str">
        <f>IF(MENU!$C$6="","INGRESE BASE",MENU!$C$6)</f>
        <v>BDHIS_MINSA</v>
      </c>
      <c r="E33" s="13" t="str">
        <f>IF(MENU!$C$9="","",MENU!$C$9)</f>
        <v/>
      </c>
      <c r="F33" s="13" t="str">
        <f>IF(MENU!$D$9="","",MENU!$D$9)</f>
        <v/>
      </c>
      <c r="G33" s="16" t="s">
        <v>213</v>
      </c>
      <c r="H33" s="5" t="str">
        <f t="shared" si="1"/>
        <v>@echo Script  ejecutado en la Base de datos UEIHNE01/SQLEXPRESS/BDHIS_MINSA</v>
      </c>
      <c r="I33" s="4" t="str">
        <f>IF(OR(E33="",F33=""),IF(C33="",IF(G33="","",(CONCATENATE("sqlcmd -E -S ",B33," -d ",D33," -i ",MENU!$E$6,A33,"\",G33,".sql -o ",MENU!$B$9,G33, ".txt &amp; ",H33))),IF(G33="","",(CONCATENATE("sqlcmd -E -S ",B33,"\",C33," -d ",D33," -i ",MENU!$E$6,A33,"\",G33,".sql -o ",MENU!$B$9,G33, ".txt &amp; ",H33)))),IF(C33="",IF(G33="","",(CONCATENATE("sqlcmd -S ",B33," -d ",D33," -U ",E33," -P ",F33," -i ",MENU!$E$6,A33,"\",G33,".sql -o ",MENU!$B$9,G33, ".txt &amp; ",H33))),IF(G33="","",(CONCATENATE("sqlcmd -S ",B33,"\",C33," -d ",D33," -U ",E33," -P ",F33," -i ",MENU!$E$6,A33,"\",G33,".sql -o ",MENU!$B$9,G33, ".txt &amp; ",H33)))))</f>
        <v>sqlcmd -E -S UEIHNE01\SQLEXPRESS -d BDHIS_MINSA -i C:\HISMINSA\Scripts\ESNI\dbo.usp_TRAMA_BASE_ESNI_RPT_04_REPORTE_I_2019.StoredProcedure.sql -o C:\HISMINSA\Resultados\dbo.usp_TRAMA_BASE_ESNI_RPT_04_REPORTE_I_2019.StoredProcedure.txt &amp; @echo Script  ejecutado en la Base de datos UEIHNE01/SQLEXPRESS/BDHIS_MINSA</v>
      </c>
    </row>
    <row r="34" spans="1:9" ht="43.5" customHeight="1" thickBot="1" x14ac:dyDescent="0.25">
      <c r="A34" s="4" t="s">
        <v>63</v>
      </c>
      <c r="B34" s="4" t="str">
        <f>IF(MENU!$B$6="","INGRESE SERVIDOR",MENU!$B$6)</f>
        <v>UEIHNE01</v>
      </c>
      <c r="C34" s="13" t="str">
        <f>IF(MENU!$D$6="","",MENU!$D$6)</f>
        <v>SQLEXPRESS</v>
      </c>
      <c r="D34" s="5" t="str">
        <f>IF(MENU!$C$6="","INGRESE BASE",MENU!$C$6)</f>
        <v>BDHIS_MINSA</v>
      </c>
      <c r="E34" s="13" t="str">
        <f>IF(MENU!$C$9="","",MENU!$C$9)</f>
        <v/>
      </c>
      <c r="F34" s="13" t="str">
        <f>IF(MENU!$D$9="","",MENU!$D$9)</f>
        <v/>
      </c>
      <c r="G34" s="16" t="s">
        <v>214</v>
      </c>
      <c r="H34" s="5" t="str">
        <f t="shared" si="1"/>
        <v>@echo Script  ejecutado en la Base de datos UEIHNE01/SQLEXPRESS/BDHIS_MINSA</v>
      </c>
      <c r="I34" s="4" t="str">
        <f>IF(OR(E34="",F34=""),IF(C34="",IF(G34="","",(CONCATENATE("sqlcmd -E -S ",B34," -d ",D34," -i ",MENU!$E$6,A34,"\",G34,".sql -o ",MENU!$B$9,G34, ".txt &amp; ",H34))),IF(G34="","",(CONCATENATE("sqlcmd -E -S ",B34,"\",C34," -d ",D34," -i ",MENU!$E$6,A34,"\",G34,".sql -o ",MENU!$B$9,G34, ".txt &amp; ",H34)))),IF(C34="",IF(G34="","",(CONCATENATE("sqlcmd -S ",B34," -d ",D34," -U ",E34," -P ",F34," -i ",MENU!$E$6,A34,"\",G34,".sql -o ",MENU!$B$9,G34, ".txt &amp; ",H34))),IF(G34="","",(CONCATENATE("sqlcmd -S ",B34,"\",C34," -d ",D34," -U ",E34," -P ",F34," -i ",MENU!$E$6,A34,"\",G34,".sql -o ",MENU!$B$9,G34, ".txt &amp; ",H34)))))</f>
        <v>sqlcmd -E -S UEIHNE01\SQLEXPRESS -d BDHIS_MINSA -i C:\HISMINSA\Scripts\ESNI\dbo.usp_TRAMA_BASE_ESNI_RPT_09_REPORTE_J_2019.StoredProcedure.sql -o C:\HISMINSA\Resultados\dbo.usp_TRAMA_BASE_ESNI_RPT_09_REPORTE_J_2019.StoredProcedure.txt &amp; @echo Script  ejecutado en la Base de datos UEIHNE01/SQLEXPRESS/BDHIS_MINSA</v>
      </c>
    </row>
    <row r="35" spans="1:9" ht="43.5" customHeight="1" thickBot="1" x14ac:dyDescent="0.25">
      <c r="A35" s="4" t="s">
        <v>63</v>
      </c>
      <c r="B35" s="4" t="str">
        <f>IF(MENU!$B$6="","INGRESE SERVIDOR",MENU!$B$6)</f>
        <v>UEIHNE01</v>
      </c>
      <c r="C35" s="13" t="str">
        <f>IF(MENU!$D$6="","",MENU!$D$6)</f>
        <v>SQLEXPRESS</v>
      </c>
      <c r="D35" s="5" t="str">
        <f>IF(MENU!$C$6="","INGRESE BASE",MENU!$C$6)</f>
        <v>BDHIS_MINSA</v>
      </c>
      <c r="E35" s="13" t="str">
        <f>IF(MENU!$C$9="","",MENU!$C$9)</f>
        <v/>
      </c>
      <c r="F35" s="13" t="str">
        <f>IF(MENU!$D$9="","",MENU!$D$9)</f>
        <v/>
      </c>
      <c r="G35" s="16" t="s">
        <v>215</v>
      </c>
      <c r="H35" s="5" t="str">
        <f t="shared" si="1"/>
        <v>@echo Script  ejecutado en la Base de datos UEIHNE01/SQLEXPRESS/BDHIS_MINSA</v>
      </c>
      <c r="I35" s="4" t="str">
        <f>IF(OR(E35="",F35=""),IF(C35="",IF(G35="","",(CONCATENATE("sqlcmd -E -S ",B35," -d ",D35," -i ",MENU!$E$6,A35,"\",G35,".sql -o ",MENU!$B$9,G35, ".txt &amp; ",H35))),IF(G35="","",(CONCATENATE("sqlcmd -E -S ",B35,"\",C35," -d ",D35," -i ",MENU!$E$6,A35,"\",G35,".sql -o ",MENU!$B$9,G35, ".txt &amp; ",H35)))),IF(C35="",IF(G35="","",(CONCATENATE("sqlcmd -S ",B35," -d ",D35," -U ",E35," -P ",F35," -i ",MENU!$E$6,A35,"\",G35,".sql -o ",MENU!$B$9,G35, ".txt &amp; ",H35))),IF(G35="","",(CONCATENATE("sqlcmd -S ",B35,"\",C35," -d ",D35," -U ",E35," -P ",F35," -i ",MENU!$E$6,A35,"\",G35,".sql -o ",MENU!$B$9,G35, ".txt &amp; ",H35)))))</f>
        <v>sqlcmd -E -S UEIHNE01\SQLEXPRESS -d BDHIS_MINSA -i C:\HISMINSA\Scripts\ESNI\dbo.usp_TRAMA_BASE_ESNI_RPT_10_REPORTE_K_2019.StoredProcedure.sql -o C:\HISMINSA\Resultados\dbo.usp_TRAMA_BASE_ESNI_RPT_10_REPORTE_K_2019.StoredProcedure.txt &amp; @echo Script  ejecutado en la Base de datos UEIHNE01/SQLEXPRESS/BDHIS_MINSA</v>
      </c>
    </row>
    <row r="36" spans="1:9" ht="43.5" customHeight="1" thickBot="1" x14ac:dyDescent="0.25">
      <c r="A36" s="4" t="s">
        <v>63</v>
      </c>
      <c r="B36" s="4" t="str">
        <f>IF(MENU!$B$6="","INGRESE SERVIDOR",MENU!$B$6)</f>
        <v>UEIHNE01</v>
      </c>
      <c r="C36" s="13" t="str">
        <f>IF(MENU!$D$6="","",MENU!$D$6)</f>
        <v>SQLEXPRESS</v>
      </c>
      <c r="D36" s="5" t="str">
        <f>IF(MENU!$C$6="","INGRESE BASE",MENU!$C$6)</f>
        <v>BDHIS_MINSA</v>
      </c>
      <c r="E36" s="13" t="str">
        <f>IF(MENU!$C$9="","",MENU!$C$9)</f>
        <v/>
      </c>
      <c r="F36" s="13" t="str">
        <f>IF(MENU!$D$9="","",MENU!$D$9)</f>
        <v/>
      </c>
      <c r="G36" s="16" t="s">
        <v>216</v>
      </c>
      <c r="H36" s="5" t="str">
        <f t="shared" si="1"/>
        <v>@echo Script  ejecutado en la Base de datos UEIHNE01/SQLEXPRESS/BDHIS_MINSA</v>
      </c>
      <c r="I36" s="4" t="str">
        <f>IF(OR(E36="",F36=""),IF(C36="",IF(G36="","",(CONCATENATE("sqlcmd -E -S ",B36," -d ",D36," -i ",MENU!$E$6,A36,"\",G36,".sql -o ",MENU!$B$9,G36, ".txt &amp; ",H36))),IF(G36="","",(CONCATENATE("sqlcmd -E -S ",B36,"\",C36," -d ",D36," -i ",MENU!$E$6,A36,"\",G36,".sql -o ",MENU!$B$9,G36, ".txt &amp; ",H36)))),IF(C36="",IF(G36="","",(CONCATENATE("sqlcmd -S ",B36," -d ",D36," -U ",E36," -P ",F36," -i ",MENU!$E$6,A36,"\",G36,".sql -o ",MENU!$B$9,G36, ".txt &amp; ",H36))),IF(G36="","",(CONCATENATE("sqlcmd -S ",B36,"\",C36," -d ",D36," -U ",E36," -P ",F36," -i ",MENU!$E$6,A36,"\",G36,".sql -o ",MENU!$B$9,G36, ".txt &amp; ",H36)))))</f>
        <v>sqlcmd -E -S UEIHNE01\SQLEXPRESS -d BDHIS_MINSA -i C:\HISMINSA\Scripts\ESNI\dbo.usp_TRAMA_BASE_ESNI_RPT_11_REPORTE_L_2019.StoredProcedure.sql -o C:\HISMINSA\Resultados\dbo.usp_TRAMA_BASE_ESNI_RPT_11_REPORTE_L_2019.StoredProcedure.txt &amp; @echo Script  ejecutado en la Base de datos UEIHNE01/SQLEXPRESS/BDHIS_MINSA</v>
      </c>
    </row>
    <row r="37" spans="1:9" ht="43.5" customHeight="1" thickBot="1" x14ac:dyDescent="0.25">
      <c r="A37" s="4" t="s">
        <v>63</v>
      </c>
      <c r="B37" s="4" t="str">
        <f>IF(MENU!$B$6="","INGRESE SERVIDOR",MENU!$B$6)</f>
        <v>UEIHNE01</v>
      </c>
      <c r="C37" s="13" t="str">
        <f>IF(MENU!$D$6="","",MENU!$D$6)</f>
        <v>SQLEXPRESS</v>
      </c>
      <c r="D37" s="5" t="str">
        <f>IF(MENU!$C$6="","INGRESE BASE",MENU!$C$6)</f>
        <v>BDHIS_MINSA</v>
      </c>
      <c r="E37" s="13" t="str">
        <f>IF(MENU!$C$9="","",MENU!$C$9)</f>
        <v/>
      </c>
      <c r="F37" s="13" t="str">
        <f>IF(MENU!$D$9="","",MENU!$D$9)</f>
        <v/>
      </c>
      <c r="G37" s="16" t="s">
        <v>217</v>
      </c>
      <c r="H37" s="5" t="str">
        <f t="shared" si="1"/>
        <v>@echo Script  ejecutado en la Base de datos UEIHNE01/SQLEXPRESS/BDHIS_MINSA</v>
      </c>
      <c r="I37" s="4" t="str">
        <f>IF(OR(E37="",F37=""),IF(C37="",IF(G37="","",(CONCATENATE("sqlcmd -E -S ",B37," -d ",D37," -i ",MENU!$E$6,A37,"\",G37,".sql -o ",MENU!$B$9,G37, ".txt &amp; ",H37))),IF(G37="","",(CONCATENATE("sqlcmd -E -S ",B37,"\",C37," -d ",D37," -i ",MENU!$E$6,A37,"\",G37,".sql -o ",MENU!$B$9,G37, ".txt &amp; ",H37)))),IF(C37="",IF(G37="","",(CONCATENATE("sqlcmd -S ",B37," -d ",D37," -U ",E37," -P ",F37," -i ",MENU!$E$6,A37,"\",G37,".sql -o ",MENU!$B$9,G37, ".txt &amp; ",H37))),IF(G37="","",(CONCATENATE("sqlcmd -S ",B37,"\",C37," -d ",D37," -U ",E37," -P ",F37," -i ",MENU!$E$6,A37,"\",G37,".sql -o ",MENU!$B$9,G37, ".txt &amp; ",H37)))))</f>
        <v>sqlcmd -E -S UEIHNE01\SQLEXPRESS -d BDHIS_MINSA -i C:\HISMINSA\Scripts\ESNI\dbo.usp_TRAMA_BASE_ESNI_RPT_12_REPORTE_M_2019.StoredProcedure.sql -o C:\HISMINSA\Resultados\dbo.usp_TRAMA_BASE_ESNI_RPT_12_REPORTE_M_2019.StoredProcedure.txt &amp; @echo Script  ejecutado en la Base de datos UEIHNE01/SQLEXPRESS/BDHIS_MINSA</v>
      </c>
    </row>
    <row r="38" spans="1:9" ht="43.5" customHeight="1" thickBot="1" x14ac:dyDescent="0.25">
      <c r="A38" s="4" t="s">
        <v>63</v>
      </c>
      <c r="B38" s="4" t="str">
        <f>IF(MENU!$B$6="","INGRESE SERVIDOR",MENU!$B$6)</f>
        <v>UEIHNE01</v>
      </c>
      <c r="C38" s="13" t="str">
        <f>IF(MENU!$D$6="","",MENU!$D$6)</f>
        <v>SQLEXPRESS</v>
      </c>
      <c r="D38" s="5" t="str">
        <f>IF(MENU!$C$6="","INGRESE BASE",MENU!$C$6)</f>
        <v>BDHIS_MINSA</v>
      </c>
      <c r="E38" s="13" t="str">
        <f>IF(MENU!$C$9="","",MENU!$C$9)</f>
        <v/>
      </c>
      <c r="F38" s="13" t="str">
        <f>IF(MENU!$D$9="","",MENU!$D$9)</f>
        <v/>
      </c>
      <c r="G38" s="16" t="s">
        <v>218</v>
      </c>
      <c r="H38" s="5" t="str">
        <f t="shared" si="1"/>
        <v>@echo Script  ejecutado en la Base de datos UEIHNE01/SQLEXPRESS/BDHIS_MINSA</v>
      </c>
      <c r="I38" s="4" t="str">
        <f>IF(OR(E38="",F38=""),IF(C38="",IF(G38="","",(CONCATENATE("sqlcmd -E -S ",B38," -d ",D38," -i ",MENU!$E$6,A38,"\",G38,".sql -o ",MENU!$B$9,G38, ".txt &amp; ",H38))),IF(G38="","",(CONCATENATE("sqlcmd -E -S ",B38,"\",C38," -d ",D38," -i ",MENU!$E$6,A38,"\",G38,".sql -o ",MENU!$B$9,G38, ".txt &amp; ",H38)))),IF(C38="",IF(G38="","",(CONCATENATE("sqlcmd -S ",B38," -d ",D38," -U ",E38," -P ",F38," -i ",MENU!$E$6,A38,"\",G38,".sql -o ",MENU!$B$9,G38, ".txt &amp; ",H38))),IF(G38="","",(CONCATENATE("sqlcmd -S ",B38,"\",C38," -d ",D38," -U ",E38," -P ",F38," -i ",MENU!$E$6,A38,"\",G38,".sql -o ",MENU!$B$9,G38, ".txt &amp; ",H38)))))</f>
        <v>sqlcmd -E -S UEIHNE01\SQLEXPRESS -d BDHIS_MINSA -i C:\HISMINSA\Scripts\ESNI\dbo.usp_TRAMA_BASE_ESNI_RPT_13_REPORTE_N1_2019.StoredProcedure.sql -o C:\HISMINSA\Resultados\dbo.usp_TRAMA_BASE_ESNI_RPT_13_REPORTE_N1_2019.StoredProcedure.txt &amp; @echo Script  ejecutado en la Base de datos UEIHNE01/SQLEXPRESS/BDHIS_MINSA</v>
      </c>
    </row>
    <row r="39" spans="1:9" ht="43.5" customHeight="1" thickBot="1" x14ac:dyDescent="0.25">
      <c r="A39" s="4" t="s">
        <v>63</v>
      </c>
      <c r="B39" s="4" t="str">
        <f>IF(MENU!$B$6="","INGRESE SERVIDOR",MENU!$B$6)</f>
        <v>UEIHNE01</v>
      </c>
      <c r="C39" s="13" t="str">
        <f>IF(MENU!$D$6="","",MENU!$D$6)</f>
        <v>SQLEXPRESS</v>
      </c>
      <c r="D39" s="5" t="str">
        <f>IF(MENU!$C$6="","INGRESE BASE",MENU!$C$6)</f>
        <v>BDHIS_MINSA</v>
      </c>
      <c r="E39" s="13" t="str">
        <f>IF(MENU!$C$9="","",MENU!$C$9)</f>
        <v/>
      </c>
      <c r="F39" s="13" t="str">
        <f>IF(MENU!$D$9="","",MENU!$D$9)</f>
        <v/>
      </c>
      <c r="G39" s="16" t="s">
        <v>219</v>
      </c>
      <c r="H39" s="5" t="str">
        <f t="shared" si="1"/>
        <v>@echo Script  ejecutado en la Base de datos UEIHNE01/SQLEXPRESS/BDHIS_MINSA</v>
      </c>
      <c r="I39" s="4" t="str">
        <f>IF(OR(E39="",F39=""),IF(C39="",IF(G39="","",(CONCATENATE("sqlcmd -E -S ",B39," -d ",D39," -i ",MENU!$E$6,A39,"\",G39,".sql -o ",MENU!$B$9,G39, ".txt &amp; ",H39))),IF(G39="","",(CONCATENATE("sqlcmd -E -S ",B39,"\",C39," -d ",D39," -i ",MENU!$E$6,A39,"\",G39,".sql -o ",MENU!$B$9,G39, ".txt &amp; ",H39)))),IF(C39="",IF(G39="","",(CONCATENATE("sqlcmd -S ",B39," -d ",D39," -U ",E39," -P ",F39," -i ",MENU!$E$6,A39,"\",G39,".sql -o ",MENU!$B$9,G39, ".txt &amp; ",H39))),IF(G39="","",(CONCATENATE("sqlcmd -S ",B39,"\",C39," -d ",D39," -U ",E39," -P ",F39," -i ",MENU!$E$6,A39,"\",G39,".sql -o ",MENU!$B$9,G39, ".txt &amp; ",H39)))))</f>
        <v>sqlcmd -E -S UEIHNE01\SQLEXPRESS -d BDHIS_MINSA -i C:\HISMINSA\Scripts\ESNI\dbo.usp_TRAMA_BASE_ESNI_RPT_13_REPORTE_N_2019.StoredProcedure.sql -o C:\HISMINSA\Resultados\dbo.usp_TRAMA_BASE_ESNI_RPT_13_REPORTE_N_2019.StoredProcedure.txt &amp; @echo Script  ejecutado en la Base de datos UEIHNE01/SQLEXPRESS/BDHIS_MINSA</v>
      </c>
    </row>
    <row r="40" spans="1:9" ht="43.5" customHeight="1" thickBot="1" x14ac:dyDescent="0.25">
      <c r="A40" s="4" t="s">
        <v>63</v>
      </c>
      <c r="B40" s="4" t="str">
        <f>IF(MENU!$B$6="","INGRESE SERVIDOR",MENU!$B$6)</f>
        <v>UEIHNE01</v>
      </c>
      <c r="C40" s="13" t="str">
        <f>IF(MENU!$D$6="","",MENU!$D$6)</f>
        <v>SQLEXPRESS</v>
      </c>
      <c r="D40" s="5" t="str">
        <f>IF(MENU!$C$6="","INGRESE BASE",MENU!$C$6)</f>
        <v>BDHIS_MINSA</v>
      </c>
      <c r="E40" s="13" t="str">
        <f>IF(MENU!$C$9="","",MENU!$C$9)</f>
        <v/>
      </c>
      <c r="F40" s="13" t="str">
        <f>IF(MENU!$D$9="","",MENU!$D$9)</f>
        <v/>
      </c>
      <c r="G40" s="16" t="s">
        <v>220</v>
      </c>
      <c r="H40" s="5" t="str">
        <f t="shared" si="1"/>
        <v>@echo Script  ejecutado en la Base de datos UEIHNE01/SQLEXPRESS/BDHIS_MINSA</v>
      </c>
      <c r="I40" s="4" t="str">
        <f>IF(OR(E40="",F40=""),IF(C40="",IF(G40="","",(CONCATENATE("sqlcmd -E -S ",B40," -d ",D40," -i ",MENU!$E$6,A40,"\",G40,".sql -o ",MENU!$B$9,G40, ".txt &amp; ",H40))),IF(G40="","",(CONCATENATE("sqlcmd -E -S ",B40,"\",C40," -d ",D40," -i ",MENU!$E$6,A40,"\",G40,".sql -o ",MENU!$B$9,G40, ".txt &amp; ",H40)))),IF(C40="",IF(G40="","",(CONCATENATE("sqlcmd -S ",B40," -d ",D40," -U ",E40," -P ",F40," -i ",MENU!$E$6,A40,"\",G40,".sql -o ",MENU!$B$9,G40, ".txt &amp; ",H40))),IF(G40="","",(CONCATENATE("sqlcmd -S ",B40,"\",C40," -d ",D40," -U ",E40," -P ",F40," -i ",MENU!$E$6,A40,"\",G40,".sql -o ",MENU!$B$9,G40, ".txt &amp; ",H40)))))</f>
        <v>sqlcmd -E -S UEIHNE01\SQLEXPRESS -d BDHIS_MINSA -i C:\HISMINSA\Scripts\ESNI\dbo.usp_TRAMA_BASE_ESNI_RPT_14_REPORTE_O_2019.StoredProcedure.sql -o C:\HISMINSA\Resultados\dbo.usp_TRAMA_BASE_ESNI_RPT_14_REPORTE_O_2019.StoredProcedure.txt &amp; @echo Script  ejecutado en la Base de datos UEIHNE01/SQLEXPRESS/BDHIS_MINSA</v>
      </c>
    </row>
    <row r="41" spans="1:9" ht="43.5" customHeight="1" thickBot="1" x14ac:dyDescent="0.25">
      <c r="A41" s="4" t="s">
        <v>63</v>
      </c>
      <c r="B41" s="4" t="str">
        <f>IF(MENU!$B$6="","INGRESE SERVIDOR",MENU!$B$6)</f>
        <v>UEIHNE01</v>
      </c>
      <c r="C41" s="13" t="str">
        <f>IF(MENU!$D$6="","",MENU!$D$6)</f>
        <v>SQLEXPRESS</v>
      </c>
      <c r="D41" s="5" t="str">
        <f>IF(MENU!$C$6="","INGRESE BASE",MENU!$C$6)</f>
        <v>BDHIS_MINSA</v>
      </c>
      <c r="E41" s="13" t="str">
        <f>IF(MENU!$C$9="","",MENU!$C$9)</f>
        <v/>
      </c>
      <c r="F41" s="13" t="str">
        <f>IF(MENU!$D$9="","",MENU!$D$9)</f>
        <v/>
      </c>
      <c r="G41" s="16" t="s">
        <v>221</v>
      </c>
      <c r="H41" s="5" t="str">
        <f t="shared" si="1"/>
        <v>@echo Script  ejecutado en la Base de datos UEIHNE01/SQLEXPRESS/BDHIS_MINSA</v>
      </c>
      <c r="I41" s="4" t="str">
        <f>IF(OR(E41="",F41=""),IF(C41="",IF(G41="","",(CONCATENATE("sqlcmd -E -S ",B41," -d ",D41," -i ",MENU!$E$6,A41,"\",G41,".sql -o ",MENU!$B$9,G41, ".txt &amp; ",H41))),IF(G41="","",(CONCATENATE("sqlcmd -E -S ",B41,"\",C41," -d ",D41," -i ",MENU!$E$6,A41,"\",G41,".sql -o ",MENU!$B$9,G41, ".txt &amp; ",H41)))),IF(C41="",IF(G41="","",(CONCATENATE("sqlcmd -S ",B41," -d ",D41," -U ",E41," -P ",F41," -i ",MENU!$E$6,A41,"\",G41,".sql -o ",MENU!$B$9,G41, ".txt &amp; ",H41))),IF(G41="","",(CONCATENATE("sqlcmd -S ",B41,"\",C41," -d ",D41," -U ",E41," -P ",F41," -i ",MENU!$E$6,A41,"\",G41,".sql -o ",MENU!$B$9,G41, ".txt &amp; ",H41)))))</f>
        <v>sqlcmd -E -S UEIHNE01\SQLEXPRESS -d BDHIS_MINSA -i C:\HISMINSA\Scripts\ESNI\dbo.usp_TRAMA_BASE_ESNI_RPT_15_REPORTE_P_2019.StoredProcedure.sql -o C:\HISMINSA\Resultados\dbo.usp_TRAMA_BASE_ESNI_RPT_15_REPORTE_P_2019.StoredProcedure.txt &amp; @echo Script  ejecutado en la Base de datos UEIHNE01/SQLEXPRESS/BDHIS_MINSA</v>
      </c>
    </row>
    <row r="42" spans="1:9" ht="43.5" customHeight="1" thickBot="1" x14ac:dyDescent="0.25">
      <c r="A42" s="4" t="s">
        <v>63</v>
      </c>
      <c r="B42" s="4" t="str">
        <f>IF(MENU!$B$6="","INGRESE SERVIDOR",MENU!$B$6)</f>
        <v>UEIHNE01</v>
      </c>
      <c r="C42" s="13" t="str">
        <f>IF(MENU!$D$6="","",MENU!$D$6)</f>
        <v>SQLEXPRESS</v>
      </c>
      <c r="D42" s="5" t="str">
        <f>IF(MENU!$C$6="","INGRESE BASE",MENU!$C$6)</f>
        <v>BDHIS_MINSA</v>
      </c>
      <c r="E42" s="13" t="str">
        <f>IF(MENU!$C$9="","",MENU!$C$9)</f>
        <v/>
      </c>
      <c r="F42" s="13" t="str">
        <f>IF(MENU!$D$9="","",MENU!$D$9)</f>
        <v/>
      </c>
      <c r="G42" s="16" t="s">
        <v>222</v>
      </c>
      <c r="H42" s="5" t="str">
        <f t="shared" si="1"/>
        <v>@echo Script  ejecutado en la Base de datos UEIHNE01/SQLEXPRESS/BDHIS_MINSA</v>
      </c>
      <c r="I42" s="4" t="str">
        <f>IF(OR(E42="",F42=""),IF(C42="",IF(G42="","",(CONCATENATE("sqlcmd -E -S ",B42," -d ",D42," -i ",MENU!$E$6,A42,"\",G42,".sql -o ",MENU!$B$9,G42, ".txt &amp; ",H42))),IF(G42="","",(CONCATENATE("sqlcmd -E -S ",B42,"\",C42," -d ",D42," -i ",MENU!$E$6,A42,"\",G42,".sql -o ",MENU!$B$9,G42, ".txt &amp; ",H42)))),IF(C42="",IF(G42="","",(CONCATENATE("sqlcmd -S ",B42," -d ",D42," -U ",E42," -P ",F42," -i ",MENU!$E$6,A42,"\",G42,".sql -o ",MENU!$B$9,G42, ".txt &amp; ",H42))),IF(G42="","",(CONCATENATE("sqlcmd -S ",B42,"\",C42," -d ",D42," -U ",E42," -P ",F42," -i ",MENU!$E$6,A42,"\",G42,".sql -o ",MENU!$B$9,G42, ".txt &amp; ",H42)))))</f>
        <v>sqlcmd -E -S UEIHNE01\SQLEXPRESS -d BDHIS_MINSA -i C:\HISMINSA\Scripts\ESNI\dbo.usp_TRAMA_BASE_ESNI_RPT_16_REPORTE_Q_2019.StoredProcedure.sql -o C:\HISMINSA\Resultados\dbo.usp_TRAMA_BASE_ESNI_RPT_16_REPORTE_Q_2019.StoredProcedure.txt &amp; @echo Script  ejecutado en la Base de datos UEIHNE01/SQLEXPRESS/BDHIS_MINSA</v>
      </c>
    </row>
    <row r="43" spans="1:9" ht="43.5" customHeight="1" thickBot="1" x14ac:dyDescent="0.25">
      <c r="A43" s="4"/>
      <c r="B43" s="4"/>
      <c r="C43" s="13"/>
      <c r="D43" s="5"/>
      <c r="E43" s="13"/>
      <c r="F43" s="13"/>
      <c r="G43" s="8"/>
      <c r="H43" s="5"/>
      <c r="I43" s="4"/>
    </row>
    <row r="44" spans="1:9" ht="43.5" customHeight="1" thickBot="1" x14ac:dyDescent="0.25">
      <c r="A44" s="4"/>
      <c r="B44" s="4"/>
      <c r="C44" s="13"/>
      <c r="D44" s="5"/>
      <c r="E44" s="13"/>
      <c r="F44" s="13"/>
      <c r="G44" s="8"/>
      <c r="H44" s="5"/>
      <c r="I44" s="4"/>
    </row>
    <row r="45" spans="1:9" ht="43.5" customHeight="1" thickBot="1" x14ac:dyDescent="0.25">
      <c r="A45" s="4"/>
      <c r="B45" s="4"/>
      <c r="C45" s="13"/>
      <c r="D45" s="5"/>
      <c r="E45" s="13"/>
      <c r="F45" s="13"/>
      <c r="G45" s="8"/>
      <c r="H45" s="5"/>
      <c r="I45" s="4"/>
    </row>
    <row r="46" spans="1:9" ht="43.5" customHeight="1" thickBot="1" x14ac:dyDescent="0.25">
      <c r="A46" s="4"/>
      <c r="B46" s="4"/>
      <c r="C46" s="13"/>
      <c r="D46" s="5"/>
      <c r="E46" s="13"/>
      <c r="F46" s="13"/>
      <c r="G46" s="8"/>
      <c r="H46" s="5"/>
      <c r="I46" s="4"/>
    </row>
    <row r="47" spans="1:9" ht="43.5" customHeight="1" thickBot="1" x14ac:dyDescent="0.25">
      <c r="A47" s="4"/>
      <c r="B47" s="4"/>
      <c r="C47" s="13"/>
      <c r="D47" s="5"/>
      <c r="E47" s="13"/>
      <c r="F47" s="13"/>
      <c r="G47" s="8"/>
      <c r="H47" s="5"/>
      <c r="I47" s="4"/>
    </row>
    <row r="48" spans="1:9" ht="43.5" customHeight="1" thickBot="1" x14ac:dyDescent="0.25">
      <c r="A48" s="4"/>
      <c r="B48" s="4"/>
      <c r="C48" s="13"/>
      <c r="D48" s="5"/>
      <c r="E48" s="13"/>
      <c r="F48" s="13"/>
      <c r="G48" s="8"/>
      <c r="H48" s="5"/>
      <c r="I48" s="4"/>
    </row>
  </sheetData>
  <phoneticPr fontId="12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I155"/>
  <sheetViews>
    <sheetView workbookViewId="0">
      <selection activeCell="I2" sqref="I2:I155"/>
    </sheetView>
  </sheetViews>
  <sheetFormatPr baseColWidth="10" defaultColWidth="9.140625" defaultRowHeight="12" x14ac:dyDescent="0.2"/>
  <cols>
    <col min="1" max="2" width="14.7109375" style="6" bestFit="1" customWidth="1"/>
    <col min="3" max="3" width="13.140625" style="3" customWidth="1"/>
    <col min="4" max="4" width="11.5703125" style="6" bestFit="1" customWidth="1"/>
    <col min="5" max="6" width="11.5703125" style="3" customWidth="1"/>
    <col min="7" max="7" width="40.7109375" style="6" customWidth="1"/>
    <col min="8" max="8" width="39.5703125" style="6" customWidth="1"/>
    <col min="9" max="9" width="101" style="6" customWidth="1"/>
    <col min="10" max="16384" width="9.140625" style="6"/>
  </cols>
  <sheetData>
    <row r="1" spans="1:9" s="3" customFormat="1" ht="12.75" thickBot="1" x14ac:dyDescent="0.25">
      <c r="A1" s="1" t="s">
        <v>65</v>
      </c>
      <c r="B1" s="1" t="s">
        <v>0</v>
      </c>
      <c r="C1" s="2" t="s">
        <v>1</v>
      </c>
      <c r="D1" s="2" t="s">
        <v>2</v>
      </c>
      <c r="E1" s="2" t="s">
        <v>11</v>
      </c>
      <c r="F1" s="2" t="s">
        <v>12</v>
      </c>
      <c r="G1" s="2" t="s">
        <v>4</v>
      </c>
      <c r="H1" s="2"/>
      <c r="I1" s="1" t="s">
        <v>5</v>
      </c>
    </row>
    <row r="2" spans="1:9" ht="43.5" customHeight="1" thickBot="1" x14ac:dyDescent="0.25">
      <c r="A2" s="4" t="s">
        <v>78</v>
      </c>
      <c r="B2" s="4" t="str">
        <f>IF(MENU!$B$6="","INGRESE SERVIDOR",MENU!$B$6)</f>
        <v>UEIHNE01</v>
      </c>
      <c r="C2" s="13" t="str">
        <f>IF(MENU!$D$6="","",MENU!$D$6)</f>
        <v>SQLEXPRESS</v>
      </c>
      <c r="D2" s="5" t="str">
        <f>IF(MENU!$C$6="","INGRESE BASE",MENU!$C$6)</f>
        <v>BDHIS_MINSA</v>
      </c>
      <c r="E2" s="13" t="str">
        <f>IF(MENU!$C$9="","",MENU!$C$9)</f>
        <v/>
      </c>
      <c r="F2" s="13" t="str">
        <f>IF(MENU!$D$9="","",MENU!$D$9)</f>
        <v/>
      </c>
      <c r="G2" s="8" t="s">
        <v>129</v>
      </c>
      <c r="H2" s="5" t="str">
        <f t="shared" ref="H2:H53" si="0">IF(C2="",CONCATENATE("@echo Script ",G2, ".sql ejecutado en la Base de datos ", B2,"/",D2),CONCATENATE("@echo Script ",E2, " ejecutado en la Base de datos ", B2,"/",C2,"/",D2))</f>
        <v>@echo Script  ejecutado en la Base de datos UEIHNE01/SQLEXPRESS/BDHIS_MINSA</v>
      </c>
      <c r="I2" s="4" t="str">
        <f>IF(OR(E2="",F2=""),IF(C2="",IF(G2="","",(CONCATENATE("sqlcmd -E -S ",B2," -d ",D2," -i ",MENU!$E$6,A2,"\",G2,".sql -o ",MENU!$B$9,G2, ".txt &amp; ",H2))),IF(G2="","",(CONCATENATE("sqlcmd -E -S ",B2,"\",C2," -d ",D2," -i ",MENU!$E$6,A2,"\",G2,".sql -o ",MENU!$B$9,G2, ".txt &amp; ",H2)))),IF(C2="",IF(G2="","",(CONCATENATE("sqlcmd -S ",B2," -d ",D2," -U ",E2," -P ",F2," -i ",MENU!$E$6,A2,"\",G2,".sql -o ",MENU!$B$9,G2, ".txt &amp; ",H2))),IF(G2="","",(CONCATENATE("sqlcmd -S ",B2,"\",C2," -d ",D2," -U ",E2," -P ",F2," -i ",MENU!$E$6,A2,"\",G2,".sql -o ",MENU!$B$9,G2, ".txt &amp; ",H2)))))</f>
        <v>sqlcmd -E -S UEIHNE01\SQLEXPRESS -d BDHIS_MINSA -i C:\HISMINSA\Scripts\ITSVIH\dbo.TRAMA_BASE_ITS_VIH_RPT01_01_POBLACION_GENERAL_CONTACTOS_CONSOLIDADO.Table.sql -o C:\HISMINSA\Resultados\dbo.TRAMA_BASE_ITS_VIH_RPT01_01_POBLACION_GENERAL_CONTACTOS_CONSOLIDADO.Table.txt &amp; @echo Script  ejecutado en la Base de datos UEIHNE01/SQLEXPRESS/BDHIS_MINSA</v>
      </c>
    </row>
    <row r="3" spans="1:9" ht="43.5" customHeight="1" thickBot="1" x14ac:dyDescent="0.25">
      <c r="A3" s="4" t="s">
        <v>78</v>
      </c>
      <c r="B3" s="4" t="str">
        <f>IF(MENU!$B$6="","INGRESE SERVIDOR",MENU!$B$6)</f>
        <v>UEIHNE01</v>
      </c>
      <c r="C3" s="13" t="str">
        <f>IF(MENU!$D$6="","",MENU!$D$6)</f>
        <v>SQLEXPRESS</v>
      </c>
      <c r="D3" s="5" t="str">
        <f>IF(MENU!$C$6="","INGRESE BASE",MENU!$C$6)</f>
        <v>BDHIS_MINSA</v>
      </c>
      <c r="E3" s="13" t="str">
        <f>IF(MENU!$C$9="","",MENU!$C$9)</f>
        <v/>
      </c>
      <c r="F3" s="13" t="str">
        <f>IF(MENU!$D$9="","",MENU!$D$9)</f>
        <v/>
      </c>
      <c r="G3" s="8" t="s">
        <v>130</v>
      </c>
      <c r="H3" s="5" t="str">
        <f t="shared" si="0"/>
        <v>@echo Script  ejecutado en la Base de datos UEIHNE01/SQLEXPRESS/BDHIS_MINSA</v>
      </c>
      <c r="I3" s="4" t="str">
        <f>IF(OR(E3="",F3=""),IF(C3="",IF(G3="","",(CONCATENATE("sqlcmd -E -S ",B3," -d ",D3," -i ",MENU!$E$6,A3,"\",G3,".sql -o ",MENU!$B$9,G3, ".txt &amp; ",H3))),IF(G3="","",(CONCATENATE("sqlcmd -E -S ",B3,"\",C3," -d ",D3," -i ",MENU!$E$6,A3,"\",G3,".sql -o ",MENU!$B$9,G3, ".txt &amp; ",H3)))),IF(C3="",IF(G3="","",(CONCATENATE("sqlcmd -S ",B3," -d ",D3," -U ",E3," -P ",F3," -i ",MENU!$E$6,A3,"\",G3,".sql -o ",MENU!$B$9,G3, ".txt &amp; ",H3))),IF(G3="","",(CONCATENATE("sqlcmd -S ",B3,"\",C3," -d ",D3," -U ",E3," -P ",F3," -i ",MENU!$E$6,A3,"\",G3,".sql -o ",MENU!$B$9,G3, ".txt &amp; ",H3)))))</f>
        <v>sqlcmd -E -S UEIHNE01\SQLEXPRESS -d BDHIS_MINSA -i C:\HISMINSA\Scripts\ITSVIH\dbo.TRAMA_BASE_ITS_VIH_RPT01_01_POBLACION_GENERAL_CONTACTOS_NOMINAL.Table.sql -o C:\HISMINSA\Resultados\dbo.TRAMA_BASE_ITS_VIH_RPT01_01_POBLACION_GENERAL_CONTACTOS_NOMINAL.Table.txt &amp; @echo Script  ejecutado en la Base de datos UEIHNE01/SQLEXPRESS/BDHIS_MINSA</v>
      </c>
    </row>
    <row r="4" spans="1:9" ht="43.5" customHeight="1" thickBot="1" x14ac:dyDescent="0.25">
      <c r="A4" s="4" t="s">
        <v>78</v>
      </c>
      <c r="B4" s="4" t="str">
        <f>IF(MENU!$B$6="","INGRESE SERVIDOR",MENU!$B$6)</f>
        <v>UEIHNE01</v>
      </c>
      <c r="C4" s="13" t="str">
        <f>IF(MENU!$D$6="","",MENU!$D$6)</f>
        <v>SQLEXPRESS</v>
      </c>
      <c r="D4" s="5" t="str">
        <f>IF(MENU!$C$6="","INGRESE BASE",MENU!$C$6)</f>
        <v>BDHIS_MINSA</v>
      </c>
      <c r="E4" s="13" t="str">
        <f>IF(MENU!$C$9="","",MENU!$C$9)</f>
        <v/>
      </c>
      <c r="F4" s="13" t="str">
        <f>IF(MENU!$D$9="","",MENU!$D$9)</f>
        <v/>
      </c>
      <c r="G4" s="8" t="s">
        <v>131</v>
      </c>
      <c r="H4" s="5" t="str">
        <f t="shared" si="0"/>
        <v>@echo Script  ejecutado en la Base de datos UEIHNE01/SQLEXPRESS/BDHIS_MINSA</v>
      </c>
      <c r="I4" s="4" t="str">
        <f>IF(OR(E4="",F4=""),IF(C4="",IF(G4="","",(CONCATENATE("sqlcmd -E -S ",B4," -d ",D4," -i ",MENU!$E$6,A4,"\",G4,".sql -o ",MENU!$B$9,G4, ".txt &amp; ",H4))),IF(G4="","",(CONCATENATE("sqlcmd -E -S ",B4,"\",C4," -d ",D4," -i ",MENU!$E$6,A4,"\",G4,".sql -o ",MENU!$B$9,G4, ".txt &amp; ",H4)))),IF(C4="",IF(G4="","",(CONCATENATE("sqlcmd -S ",B4," -d ",D4," -U ",E4," -P ",F4," -i ",MENU!$E$6,A4,"\",G4,".sql -o ",MENU!$B$9,G4, ".txt &amp; ",H4))),IF(G4="","",(CONCATENATE("sqlcmd -S ",B4,"\",C4," -d ",D4," -U ",E4," -P ",F4," -i ",MENU!$E$6,A4,"\",G4,".sql -o ",MENU!$B$9,G4, ".txt &amp; ",H4)))))</f>
        <v>sqlcmd -E -S UEIHNE01\SQLEXPRESS -d BDHIS_MINSA -i C:\HISMINSA\Scripts\ITSVIH\dbo.TRAMA_BASE_ITS_VIH_RPT01_POBLACION_GENERAL_CONSOLIDADO.Table.sql -o C:\HISMINSA\Resultados\dbo.TRAMA_BASE_ITS_VIH_RPT01_POBLACION_GENERAL_CONSOLIDADO.Table.txt &amp; @echo Script  ejecutado en la Base de datos UEIHNE01/SQLEXPRESS/BDHIS_MINSA</v>
      </c>
    </row>
    <row r="5" spans="1:9" ht="43.5" customHeight="1" thickBot="1" x14ac:dyDescent="0.25">
      <c r="A5" s="4" t="s">
        <v>78</v>
      </c>
      <c r="B5" s="4" t="str">
        <f>IF(MENU!$B$6="","INGRESE SERVIDOR",MENU!$B$6)</f>
        <v>UEIHNE01</v>
      </c>
      <c r="C5" s="13" t="str">
        <f>IF(MENU!$D$6="","",MENU!$D$6)</f>
        <v>SQLEXPRESS</v>
      </c>
      <c r="D5" s="5" t="str">
        <f>IF(MENU!$C$6="","INGRESE BASE",MENU!$C$6)</f>
        <v>BDHIS_MINSA</v>
      </c>
      <c r="E5" s="13" t="str">
        <f>IF(MENU!$C$9="","",MENU!$C$9)</f>
        <v/>
      </c>
      <c r="F5" s="13" t="str">
        <f>IF(MENU!$D$9="","",MENU!$D$9)</f>
        <v/>
      </c>
      <c r="G5" s="8" t="s">
        <v>132</v>
      </c>
      <c r="H5" s="5" t="str">
        <f t="shared" si="0"/>
        <v>@echo Script  ejecutado en la Base de datos UEIHNE01/SQLEXPRESS/BDHIS_MINSA</v>
      </c>
      <c r="I5" s="4" t="str">
        <f>IF(OR(E5="",F5=""),IF(C5="",IF(G5="","",(CONCATENATE("sqlcmd -E -S ",B5," -d ",D5," -i ",MENU!$E$6,A5,"\",G5,".sql -o ",MENU!$B$9,G5, ".txt &amp; ",H5))),IF(G5="","",(CONCATENATE("sqlcmd -E -S ",B5,"\",C5," -d ",D5," -i ",MENU!$E$6,A5,"\",G5,".sql -o ",MENU!$B$9,G5, ".txt &amp; ",H5)))),IF(C5="",IF(G5="","",(CONCATENATE("sqlcmd -S ",B5," -d ",D5," -U ",E5," -P ",F5," -i ",MENU!$E$6,A5,"\",G5,".sql -o ",MENU!$B$9,G5, ".txt &amp; ",H5))),IF(G5="","",(CONCATENATE("sqlcmd -S ",B5,"\",C5," -d ",D5," -U ",E5," -P ",F5," -i ",MENU!$E$6,A5,"\",G5,".sql -o ",MENU!$B$9,G5, ".txt &amp; ",H5)))))</f>
        <v>sqlcmd -E -S UEIHNE01\SQLEXPRESS -d BDHIS_MINSA -i C:\HISMINSA\Scripts\ITSVIH\dbo.TRAMA_BASE_ITS_VIH_RPT01_POBLACION_GENERAL_NOMINAL.Table.sql -o C:\HISMINSA\Resultados\dbo.TRAMA_BASE_ITS_VIH_RPT01_POBLACION_GENERAL_NOMINAL.Table.txt &amp; @echo Script  ejecutado en la Base de datos UEIHNE01/SQLEXPRESS/BDHIS_MINSA</v>
      </c>
    </row>
    <row r="6" spans="1:9" ht="43.5" customHeight="1" thickBot="1" x14ac:dyDescent="0.25">
      <c r="A6" s="4" t="s">
        <v>78</v>
      </c>
      <c r="B6" s="4" t="str">
        <f>IF(MENU!$B$6="","INGRESE SERVIDOR",MENU!$B$6)</f>
        <v>UEIHNE01</v>
      </c>
      <c r="C6" s="13" t="str">
        <f>IF(MENU!$D$6="","",MENU!$D$6)</f>
        <v>SQLEXPRESS</v>
      </c>
      <c r="D6" s="5" t="str">
        <f>IF(MENU!$C$6="","INGRESE BASE",MENU!$C$6)</f>
        <v>BDHIS_MINSA</v>
      </c>
      <c r="E6" s="13" t="str">
        <f>IF(MENU!$C$9="","",MENU!$C$9)</f>
        <v/>
      </c>
      <c r="F6" s="13" t="str">
        <f>IF(MENU!$D$9="","",MENU!$D$9)</f>
        <v/>
      </c>
      <c r="G6" s="8" t="s">
        <v>133</v>
      </c>
      <c r="H6" s="5" t="str">
        <f t="shared" si="0"/>
        <v>@echo Script  ejecutado en la Base de datos UEIHNE01/SQLEXPRESS/BDHIS_MINSA</v>
      </c>
      <c r="I6" s="4" t="str">
        <f>IF(OR(E6="",F6=""),IF(C6="",IF(G6="","",(CONCATENATE("sqlcmd -E -S ",B6," -d ",D6," -i ",MENU!$E$6,A6,"\",G6,".sql -o ",MENU!$B$9,G6, ".txt &amp; ",H6))),IF(G6="","",(CONCATENATE("sqlcmd -E -S ",B6,"\",C6," -d ",D6," -i ",MENU!$E$6,A6,"\",G6,".sql -o ",MENU!$B$9,G6, ".txt &amp; ",H6)))),IF(C6="",IF(G6="","",(CONCATENATE("sqlcmd -S ",B6," -d ",D6," -U ",E6," -P ",F6," -i ",MENU!$E$6,A6,"\",G6,".sql -o ",MENU!$B$9,G6, ".txt &amp; ",H6))),IF(G6="","",(CONCATENATE("sqlcmd -S ",B6,"\",C6," -d ",D6," -U ",E6," -P ",F6," -i ",MENU!$E$6,A6,"\",G6,".sql -o ",MENU!$B$9,G6, ".txt &amp; ",H6)))))</f>
        <v>sqlcmd -E -S UEIHNE01\SQLEXPRESS -d BDHIS_MINSA -i C:\HISMINSA\Scripts\ITSVIH\dbo.TRAMA_BASE_ITS_VIH_RPT02_HEPATITIS_B_CONSOLIDADO.Table.sql -o C:\HISMINSA\Resultados\dbo.TRAMA_BASE_ITS_VIH_RPT02_HEPATITIS_B_CONSOLIDADO.Table.txt &amp; @echo Script  ejecutado en la Base de datos UEIHNE01/SQLEXPRESS/BDHIS_MINSA</v>
      </c>
    </row>
    <row r="7" spans="1:9" ht="43.5" customHeight="1" thickBot="1" x14ac:dyDescent="0.25">
      <c r="A7" s="4" t="s">
        <v>78</v>
      </c>
      <c r="B7" s="4" t="str">
        <f>IF(MENU!$B$6="","INGRESE SERVIDOR",MENU!$B$6)</f>
        <v>UEIHNE01</v>
      </c>
      <c r="C7" s="13" t="str">
        <f>IF(MENU!$D$6="","",MENU!$D$6)</f>
        <v>SQLEXPRESS</v>
      </c>
      <c r="D7" s="5" t="str">
        <f>IF(MENU!$C$6="","INGRESE BASE",MENU!$C$6)</f>
        <v>BDHIS_MINSA</v>
      </c>
      <c r="E7" s="13" t="str">
        <f>IF(MENU!$C$9="","",MENU!$C$9)</f>
        <v/>
      </c>
      <c r="F7" s="13" t="str">
        <f>IF(MENU!$D$9="","",MENU!$D$9)</f>
        <v/>
      </c>
      <c r="G7" s="8" t="s">
        <v>134</v>
      </c>
      <c r="H7" s="5" t="str">
        <f t="shared" si="0"/>
        <v>@echo Script  ejecutado en la Base de datos UEIHNE01/SQLEXPRESS/BDHIS_MINSA</v>
      </c>
      <c r="I7" s="4" t="str">
        <f>IF(OR(E7="",F7=""),IF(C7="",IF(G7="","",(CONCATENATE("sqlcmd -E -S ",B7," -d ",D7," -i ",MENU!$E$6,A7,"\",G7,".sql -o ",MENU!$B$9,G7, ".txt &amp; ",H7))),IF(G7="","",(CONCATENATE("sqlcmd -E -S ",B7,"\",C7," -d ",D7," -i ",MENU!$E$6,A7,"\",G7,".sql -o ",MENU!$B$9,G7, ".txt &amp; ",H7)))),IF(C7="",IF(G7="","",(CONCATENATE("sqlcmd -S ",B7," -d ",D7," -U ",E7," -P ",F7," -i ",MENU!$E$6,A7,"\",G7,".sql -o ",MENU!$B$9,G7, ".txt &amp; ",H7))),IF(G7="","",(CONCATENATE("sqlcmd -S ",B7,"\",C7," -d ",D7," -U ",E7," -P ",F7," -i ",MENU!$E$6,A7,"\",G7,".sql -o ",MENU!$B$9,G7, ".txt &amp; ",H7)))))</f>
        <v>sqlcmd -E -S UEIHNE01\SQLEXPRESS -d BDHIS_MINSA -i C:\HISMINSA\Scripts\ITSVIH\dbo.TRAMA_BASE_ITS_VIH_RPT02_HEPATITIS_B_NOMINAL.Table.sql -o C:\HISMINSA\Resultados\dbo.TRAMA_BASE_ITS_VIH_RPT02_HEPATITIS_B_NOMINAL.Table.txt &amp; @echo Script  ejecutado en la Base de datos UEIHNE01/SQLEXPRESS/BDHIS_MINSA</v>
      </c>
    </row>
    <row r="8" spans="1:9" ht="43.5" customHeight="1" thickBot="1" x14ac:dyDescent="0.25">
      <c r="A8" s="4" t="s">
        <v>78</v>
      </c>
      <c r="B8" s="4" t="str">
        <f>IF(MENU!$B$6="","INGRESE SERVIDOR",MENU!$B$6)</f>
        <v>UEIHNE01</v>
      </c>
      <c r="C8" s="13" t="str">
        <f>IF(MENU!$D$6="","",MENU!$D$6)</f>
        <v>SQLEXPRESS</v>
      </c>
      <c r="D8" s="5" t="str">
        <f>IF(MENU!$C$6="","INGRESE BASE",MENU!$C$6)</f>
        <v>BDHIS_MINSA</v>
      </c>
      <c r="E8" s="13" t="str">
        <f>IF(MENU!$C$9="","",MENU!$C$9)</f>
        <v/>
      </c>
      <c r="F8" s="13" t="str">
        <f>IF(MENU!$D$9="","",MENU!$D$9)</f>
        <v/>
      </c>
      <c r="G8" s="8" t="s">
        <v>135</v>
      </c>
      <c r="H8" s="5" t="str">
        <f t="shared" si="0"/>
        <v>@echo Script  ejecutado en la Base de datos UEIHNE01/SQLEXPRESS/BDHIS_MINSA</v>
      </c>
      <c r="I8" s="4" t="str">
        <f>IF(OR(E8="",F8=""),IF(C8="",IF(G8="","",(CONCATENATE("sqlcmd -E -S ",B8," -d ",D8," -i ",MENU!$E$6,A8,"\",G8,".sql -o ",MENU!$B$9,G8, ".txt &amp; ",H8))),IF(G8="","",(CONCATENATE("sqlcmd -E -S ",B8,"\",C8," -d ",D8," -i ",MENU!$E$6,A8,"\",G8,".sql -o ",MENU!$B$9,G8, ".txt &amp; ",H8)))),IF(C8="",IF(G8="","",(CONCATENATE("sqlcmd -S ",B8," -d ",D8," -U ",E8," -P ",F8," -i ",MENU!$E$6,A8,"\",G8,".sql -o ",MENU!$B$9,G8, ".txt &amp; ",H8))),IF(G8="","",(CONCATENATE("sqlcmd -S ",B8,"\",C8," -d ",D8," -U ",E8," -P ",F8," -i ",MENU!$E$6,A8,"\",G8,".sql -o ",MENU!$B$9,G8, ".txt &amp; ",H8)))))</f>
        <v>sqlcmd -E -S UEIHNE01\SQLEXPRESS -d BDHIS_MINSA -i C:\HISMINSA\Scripts\ITSVIH\dbo.TRAMA_BASE_ITS_VIH_RPT03_POBLACION_GENERAL_TAMIZAJE_CONSOLIDADO.Table.sql -o C:\HISMINSA\Resultados\dbo.TRAMA_BASE_ITS_VIH_RPT03_POBLACION_GENERAL_TAMIZAJE_CONSOLIDADO.Table.txt &amp; @echo Script  ejecutado en la Base de datos UEIHNE01/SQLEXPRESS/BDHIS_MINSA</v>
      </c>
    </row>
    <row r="9" spans="1:9" ht="43.5" customHeight="1" thickBot="1" x14ac:dyDescent="0.25">
      <c r="A9" s="4" t="s">
        <v>78</v>
      </c>
      <c r="B9" s="4" t="str">
        <f>IF(MENU!$B$6="","INGRESE SERVIDOR",MENU!$B$6)</f>
        <v>UEIHNE01</v>
      </c>
      <c r="C9" s="13" t="str">
        <f>IF(MENU!$D$6="","",MENU!$D$6)</f>
        <v>SQLEXPRESS</v>
      </c>
      <c r="D9" s="5" t="str">
        <f>IF(MENU!$C$6="","INGRESE BASE",MENU!$C$6)</f>
        <v>BDHIS_MINSA</v>
      </c>
      <c r="E9" s="13" t="str">
        <f>IF(MENU!$C$9="","",MENU!$C$9)</f>
        <v/>
      </c>
      <c r="F9" s="13" t="str">
        <f>IF(MENU!$D$9="","",MENU!$D$9)</f>
        <v/>
      </c>
      <c r="G9" s="8" t="s">
        <v>136</v>
      </c>
      <c r="H9" s="5" t="str">
        <f t="shared" si="0"/>
        <v>@echo Script  ejecutado en la Base de datos UEIHNE01/SQLEXPRESS/BDHIS_MINSA</v>
      </c>
      <c r="I9" s="4" t="str">
        <f>IF(OR(E9="",F9=""),IF(C9="",IF(G9="","",(CONCATENATE("sqlcmd -E -S ",B9," -d ",D9," -i ",MENU!$E$6,A9,"\",G9,".sql -o ",MENU!$B$9,G9, ".txt &amp; ",H9))),IF(G9="","",(CONCATENATE("sqlcmd -E -S ",B9,"\",C9," -d ",D9," -i ",MENU!$E$6,A9,"\",G9,".sql -o ",MENU!$B$9,G9, ".txt &amp; ",H9)))),IF(C9="",IF(G9="","",(CONCATENATE("sqlcmd -S ",B9," -d ",D9," -U ",E9," -P ",F9," -i ",MENU!$E$6,A9,"\",G9,".sql -o ",MENU!$B$9,G9, ".txt &amp; ",H9))),IF(G9="","",(CONCATENATE("sqlcmd -S ",B9,"\",C9," -d ",D9," -U ",E9," -P ",F9," -i ",MENU!$E$6,A9,"\",G9,".sql -o ",MENU!$B$9,G9, ".txt &amp; ",H9)))))</f>
        <v>sqlcmd -E -S UEIHNE01\SQLEXPRESS -d BDHIS_MINSA -i C:\HISMINSA\Scripts\ITSVIH\dbo.TRAMA_BASE_ITS_VIH_RPT03_POBLACION_GENERAL_TAMIZAJE_NOMINAL.Table.sql -o C:\HISMINSA\Resultados\dbo.TRAMA_BASE_ITS_VIH_RPT03_POBLACION_GENERAL_TAMIZAJE_NOMINAL.Table.txt &amp; @echo Script  ejecutado en la Base de datos UEIHNE01/SQLEXPRESS/BDHIS_MINSA</v>
      </c>
    </row>
    <row r="10" spans="1:9" ht="43.5" customHeight="1" thickBot="1" x14ac:dyDescent="0.25">
      <c r="A10" s="4" t="s">
        <v>78</v>
      </c>
      <c r="B10" s="4" t="str">
        <f>IF(MENU!$B$6="","INGRESE SERVIDOR",MENU!$B$6)</f>
        <v>UEIHNE01</v>
      </c>
      <c r="C10" s="13" t="str">
        <f>IF(MENU!$D$6="","",MENU!$D$6)</f>
        <v>SQLEXPRESS</v>
      </c>
      <c r="D10" s="5" t="str">
        <f>IF(MENU!$C$6="","INGRESE BASE",MENU!$C$6)</f>
        <v>BDHIS_MINSA</v>
      </c>
      <c r="E10" s="13" t="str">
        <f>IF(MENU!$C$9="","",MENU!$C$9)</f>
        <v/>
      </c>
      <c r="F10" s="13" t="str">
        <f>IF(MENU!$D$9="","",MENU!$D$9)</f>
        <v/>
      </c>
      <c r="G10" s="8" t="s">
        <v>137</v>
      </c>
      <c r="H10" s="5" t="str">
        <f t="shared" si="0"/>
        <v>@echo Script  ejecutado en la Base de datos UEIHNE01/SQLEXPRESS/BDHIS_MINSA</v>
      </c>
      <c r="I10" s="4" t="str">
        <f>IF(OR(E10="",F10=""),IF(C10="",IF(G10="","",(CONCATENATE("sqlcmd -E -S ",B10," -d ",D10," -i ",MENU!$E$6,A10,"\",G10,".sql -o ",MENU!$B$9,G10, ".txt &amp; ",H10))),IF(G10="","",(CONCATENATE("sqlcmd -E -S ",B10,"\",C10," -d ",D10," -i ",MENU!$E$6,A10,"\",G10,".sql -o ",MENU!$B$9,G10, ".txt &amp; ",H10)))),IF(C10="",IF(G10="","",(CONCATENATE("sqlcmd -S ",B10," -d ",D10," -U ",E10," -P ",F10," -i ",MENU!$E$6,A10,"\",G10,".sql -o ",MENU!$B$9,G10, ".txt &amp; ",H10))),IF(G10="","",(CONCATENATE("sqlcmd -S ",B10,"\",C10," -d ",D10," -U ",E10," -P ",F10," -i ",MENU!$E$6,A10,"\",G10,".sql -o ",MENU!$B$9,G10, ".txt &amp; ",H10)))))</f>
        <v>sqlcmd -E -S UEIHNE01\SQLEXPRESS -d BDHIS_MINSA -i C:\HISMINSA\Scripts\ITSVIH\dbo.TRAMA_BASE_ITS_VIH_RPT04_EXPOSICION_VIH_CONSOLIDADO.Table.sql -o C:\HISMINSA\Resultados\dbo.TRAMA_BASE_ITS_VIH_RPT04_EXPOSICION_VIH_CONSOLIDADO.Table.txt &amp; @echo Script  ejecutado en la Base de datos UEIHNE01/SQLEXPRESS/BDHIS_MINSA</v>
      </c>
    </row>
    <row r="11" spans="1:9" ht="43.5" customHeight="1" thickBot="1" x14ac:dyDescent="0.25">
      <c r="A11" s="4" t="s">
        <v>78</v>
      </c>
      <c r="B11" s="4" t="str">
        <f>IF(MENU!$B$6="","INGRESE SERVIDOR",MENU!$B$6)</f>
        <v>UEIHNE01</v>
      </c>
      <c r="C11" s="13" t="str">
        <f>IF(MENU!$D$6="","",MENU!$D$6)</f>
        <v>SQLEXPRESS</v>
      </c>
      <c r="D11" s="5" t="str">
        <f>IF(MENU!$C$6="","INGRESE BASE",MENU!$C$6)</f>
        <v>BDHIS_MINSA</v>
      </c>
      <c r="E11" s="13" t="str">
        <f>IF(MENU!$C$9="","",MENU!$C$9)</f>
        <v/>
      </c>
      <c r="F11" s="13" t="str">
        <f>IF(MENU!$D$9="","",MENU!$D$9)</f>
        <v/>
      </c>
      <c r="G11" s="8" t="s">
        <v>138</v>
      </c>
      <c r="H11" s="5" t="str">
        <f t="shared" si="0"/>
        <v>@echo Script  ejecutado en la Base de datos UEIHNE01/SQLEXPRESS/BDHIS_MINSA</v>
      </c>
      <c r="I11" s="4" t="str">
        <f>IF(OR(E11="",F11=""),IF(C11="",IF(G11="","",(CONCATENATE("sqlcmd -E -S ",B11," -d ",D11," -i ",MENU!$E$6,A11,"\",G11,".sql -o ",MENU!$B$9,G11, ".txt &amp; ",H11))),IF(G11="","",(CONCATENATE("sqlcmd -E -S ",B11,"\",C11," -d ",D11," -i ",MENU!$E$6,A11,"\",G11,".sql -o ",MENU!$B$9,G11, ".txt &amp; ",H11)))),IF(C11="",IF(G11="","",(CONCATENATE("sqlcmd -S ",B11," -d ",D11," -U ",E11," -P ",F11," -i ",MENU!$E$6,A11,"\",G11,".sql -o ",MENU!$B$9,G11, ".txt &amp; ",H11))),IF(G11="","",(CONCATENATE("sqlcmd -S ",B11,"\",C11," -d ",D11," -U ",E11," -P ",F11," -i ",MENU!$E$6,A11,"\",G11,".sql -o ",MENU!$B$9,G11, ".txt &amp; ",H11)))))</f>
        <v>sqlcmd -E -S UEIHNE01\SQLEXPRESS -d BDHIS_MINSA -i C:\HISMINSA\Scripts\ITSVIH\dbo.TRAMA_BASE_ITS_VIH_RPT04_EXPOSICION_VIH_NOMINAL.Table.sql -o C:\HISMINSA\Resultados\dbo.TRAMA_BASE_ITS_VIH_RPT04_EXPOSICION_VIH_NOMINAL.Table.txt &amp; @echo Script  ejecutado en la Base de datos UEIHNE01/SQLEXPRESS/BDHIS_MINSA</v>
      </c>
    </row>
    <row r="12" spans="1:9" ht="43.5" customHeight="1" thickBot="1" x14ac:dyDescent="0.25">
      <c r="A12" s="4" t="s">
        <v>78</v>
      </c>
      <c r="B12" s="4" t="str">
        <f>IF(MENU!$B$6="","INGRESE SERVIDOR",MENU!$B$6)</f>
        <v>UEIHNE01</v>
      </c>
      <c r="C12" s="13" t="str">
        <f>IF(MENU!$D$6="","",MENU!$D$6)</f>
        <v>SQLEXPRESS</v>
      </c>
      <c r="D12" s="5" t="str">
        <f>IF(MENU!$C$6="","INGRESE BASE",MENU!$C$6)</f>
        <v>BDHIS_MINSA</v>
      </c>
      <c r="E12" s="13" t="str">
        <f>IF(MENU!$C$9="","",MENU!$C$9)</f>
        <v/>
      </c>
      <c r="F12" s="13" t="str">
        <f>IF(MENU!$D$9="","",MENU!$D$9)</f>
        <v/>
      </c>
      <c r="G12" s="8" t="s">
        <v>139</v>
      </c>
      <c r="H12" s="5" t="str">
        <f t="shared" si="0"/>
        <v>@echo Script  ejecutado en la Base de datos UEIHNE01/SQLEXPRESS/BDHIS_MINSA</v>
      </c>
      <c r="I12" s="4" t="str">
        <f>IF(OR(E12="",F12=""),IF(C12="",IF(G12="","",(CONCATENATE("sqlcmd -E -S ",B12," -d ",D12," -i ",MENU!$E$6,A12,"\",G12,".sql -o ",MENU!$B$9,G12, ".txt &amp; ",H12))),IF(G12="","",(CONCATENATE("sqlcmd -E -S ",B12,"\",C12," -d ",D12," -i ",MENU!$E$6,A12,"\",G12,".sql -o ",MENU!$B$9,G12, ".txt &amp; ",H12)))),IF(C12="",IF(G12="","",(CONCATENATE("sqlcmd -S ",B12," -d ",D12," -U ",E12," -P ",F12," -i ",MENU!$E$6,A12,"\",G12,".sql -o ",MENU!$B$9,G12, ".txt &amp; ",H12))),IF(G12="","",(CONCATENATE("sqlcmd -S ",B12,"\",C12," -d ",D12," -U ",E12," -P ",F12," -i ",MENU!$E$6,A12,"\",G12,".sql -o ",MENU!$B$9,G12, ".txt &amp; ",H12)))))</f>
        <v>sqlcmd -E -S UEIHNE01\SQLEXPRESS -d BDHIS_MINSA -i C:\HISMINSA\Scripts\ITSVIH\dbo.TRAMA_BASE_ITS_VIH_RPT05_PVVIH_ATENCION_INTEGRAL_CONSOLIDADO.Table.sql -o C:\HISMINSA\Resultados\dbo.TRAMA_BASE_ITS_VIH_RPT05_PVVIH_ATENCION_INTEGRAL_CONSOLIDADO.Table.txt &amp; @echo Script  ejecutado en la Base de datos UEIHNE01/SQLEXPRESS/BDHIS_MINSA</v>
      </c>
    </row>
    <row r="13" spans="1:9" ht="43.5" customHeight="1" thickBot="1" x14ac:dyDescent="0.25">
      <c r="A13" s="4" t="s">
        <v>78</v>
      </c>
      <c r="B13" s="4" t="str">
        <f>IF(MENU!$B$6="","INGRESE SERVIDOR",MENU!$B$6)</f>
        <v>UEIHNE01</v>
      </c>
      <c r="C13" s="13" t="str">
        <f>IF(MENU!$D$6="","",MENU!$D$6)</f>
        <v>SQLEXPRESS</v>
      </c>
      <c r="D13" s="5" t="str">
        <f>IF(MENU!$C$6="","INGRESE BASE",MENU!$C$6)</f>
        <v>BDHIS_MINSA</v>
      </c>
      <c r="E13" s="13" t="str">
        <f>IF(MENU!$C$9="","",MENU!$C$9)</f>
        <v/>
      </c>
      <c r="F13" s="13" t="str">
        <f>IF(MENU!$D$9="","",MENU!$D$9)</f>
        <v/>
      </c>
      <c r="G13" s="8" t="s">
        <v>140</v>
      </c>
      <c r="H13" s="5" t="str">
        <f t="shared" si="0"/>
        <v>@echo Script  ejecutado en la Base de datos UEIHNE01/SQLEXPRESS/BDHIS_MINSA</v>
      </c>
      <c r="I13" s="4" t="str">
        <f>IF(OR(E13="",F13=""),IF(C13="",IF(G13="","",(CONCATENATE("sqlcmd -E -S ",B13," -d ",D13," -i ",MENU!$E$6,A13,"\",G13,".sql -o ",MENU!$B$9,G13, ".txt &amp; ",H13))),IF(G13="","",(CONCATENATE("sqlcmd -E -S ",B13,"\",C13," -d ",D13," -i ",MENU!$E$6,A13,"\",G13,".sql -o ",MENU!$B$9,G13, ".txt &amp; ",H13)))),IF(C13="",IF(G13="","",(CONCATENATE("sqlcmd -S ",B13," -d ",D13," -U ",E13," -P ",F13," -i ",MENU!$E$6,A13,"\",G13,".sql -o ",MENU!$B$9,G13, ".txt &amp; ",H13))),IF(G13="","",(CONCATENATE("sqlcmd -S ",B13,"\",C13," -d ",D13," -U ",E13," -P ",F13," -i ",MENU!$E$6,A13,"\",G13,".sql -o ",MENU!$B$9,G13, ".txt &amp; ",H13)))))</f>
        <v>sqlcmd -E -S UEIHNE01\SQLEXPRESS -d BDHIS_MINSA -i C:\HISMINSA\Scripts\ITSVIH\dbo.TRAMA_BASE_ITS_VIH_RPT05_PVVIH_ATENCION_INTEGRAL_NOMINAL.Table.sql -o C:\HISMINSA\Resultados\dbo.TRAMA_BASE_ITS_VIH_RPT05_PVVIH_ATENCION_INTEGRAL_NOMINAL.Table.txt &amp; @echo Script  ejecutado en la Base de datos UEIHNE01/SQLEXPRESS/BDHIS_MINSA</v>
      </c>
    </row>
    <row r="14" spans="1:9" ht="43.5" customHeight="1" thickBot="1" x14ac:dyDescent="0.25">
      <c r="A14" s="4" t="s">
        <v>78</v>
      </c>
      <c r="B14" s="4" t="str">
        <f>IF(MENU!$B$6="","INGRESE SERVIDOR",MENU!$B$6)</f>
        <v>UEIHNE01</v>
      </c>
      <c r="C14" s="13" t="str">
        <f>IF(MENU!$D$6="","",MENU!$D$6)</f>
        <v>SQLEXPRESS</v>
      </c>
      <c r="D14" s="5" t="str">
        <f>IF(MENU!$C$6="","INGRESE BASE",MENU!$C$6)</f>
        <v>BDHIS_MINSA</v>
      </c>
      <c r="E14" s="13" t="str">
        <f>IF(MENU!$C$9="","",MENU!$C$9)</f>
        <v/>
      </c>
      <c r="F14" s="13" t="str">
        <f>IF(MENU!$D$9="","",MENU!$D$9)</f>
        <v/>
      </c>
      <c r="G14" s="8" t="s">
        <v>141</v>
      </c>
      <c r="H14" s="5" t="str">
        <f t="shared" si="0"/>
        <v>@echo Script  ejecutado en la Base de datos UEIHNE01/SQLEXPRESS/BDHIS_MINSA</v>
      </c>
      <c r="I14" s="4" t="str">
        <f>IF(OR(E14="",F14=""),IF(C14="",IF(G14="","",(CONCATENATE("sqlcmd -E -S ",B14," -d ",D14," -i ",MENU!$E$6,A14,"\",G14,".sql -o ",MENU!$B$9,G14, ".txt &amp; ",H14))),IF(G14="","",(CONCATENATE("sqlcmd -E -S ",B14,"\",C14," -d ",D14," -i ",MENU!$E$6,A14,"\",G14,".sql -o ",MENU!$B$9,G14, ".txt &amp; ",H14)))),IF(C14="",IF(G14="","",(CONCATENATE("sqlcmd -S ",B14," -d ",D14," -U ",E14," -P ",F14," -i ",MENU!$E$6,A14,"\",G14,".sql -o ",MENU!$B$9,G14, ".txt &amp; ",H14))),IF(G14="","",(CONCATENATE("sqlcmd -S ",B14,"\",C14," -d ",D14," -U ",E14," -P ",F14," -i ",MENU!$E$6,A14,"\",G14,".sql -o ",MENU!$B$9,G14, ".txt &amp; ",H14)))))</f>
        <v>sqlcmd -E -S UEIHNE01\SQLEXPRESS -d BDHIS_MINSA -i C:\HISMINSA\Scripts\ITSVIH\dbo.TRAMA_BASE_ITS_VIH_RPT06_01_GESTANTES_RN_CONSOLIDADO.Table.sql -o C:\HISMINSA\Resultados\dbo.TRAMA_BASE_ITS_VIH_RPT06_01_GESTANTES_RN_CONSOLIDADO.Table.txt &amp; @echo Script  ejecutado en la Base de datos UEIHNE01/SQLEXPRESS/BDHIS_MINSA</v>
      </c>
    </row>
    <row r="15" spans="1:9" ht="43.5" customHeight="1" thickBot="1" x14ac:dyDescent="0.25">
      <c r="A15" s="4" t="s">
        <v>78</v>
      </c>
      <c r="B15" s="4" t="str">
        <f>IF(MENU!$B$6="","INGRESE SERVIDOR",MENU!$B$6)</f>
        <v>UEIHNE01</v>
      </c>
      <c r="C15" s="13" t="str">
        <f>IF(MENU!$D$6="","",MENU!$D$6)</f>
        <v>SQLEXPRESS</v>
      </c>
      <c r="D15" s="5" t="str">
        <f>IF(MENU!$C$6="","INGRESE BASE",MENU!$C$6)</f>
        <v>BDHIS_MINSA</v>
      </c>
      <c r="E15" s="13" t="str">
        <f>IF(MENU!$C$9="","",MENU!$C$9)</f>
        <v/>
      </c>
      <c r="F15" s="13" t="str">
        <f>IF(MENU!$D$9="","",MENU!$D$9)</f>
        <v/>
      </c>
      <c r="G15" s="8" t="s">
        <v>142</v>
      </c>
      <c r="H15" s="5" t="str">
        <f t="shared" si="0"/>
        <v>@echo Script  ejecutado en la Base de datos UEIHNE01/SQLEXPRESS/BDHIS_MINSA</v>
      </c>
      <c r="I15" s="4" t="str">
        <f>IF(OR(E15="",F15=""),IF(C15="",IF(G15="","",(CONCATENATE("sqlcmd -E -S ",B15," -d ",D15," -i ",MENU!$E$6,A15,"\",G15,".sql -o ",MENU!$B$9,G15, ".txt &amp; ",H15))),IF(G15="","",(CONCATENATE("sqlcmd -E -S ",B15,"\",C15," -d ",D15," -i ",MENU!$E$6,A15,"\",G15,".sql -o ",MENU!$B$9,G15, ".txt &amp; ",H15)))),IF(C15="",IF(G15="","",(CONCATENATE("sqlcmd -S ",B15," -d ",D15," -U ",E15," -P ",F15," -i ",MENU!$E$6,A15,"\",G15,".sql -o ",MENU!$B$9,G15, ".txt &amp; ",H15))),IF(G15="","",(CONCATENATE("sqlcmd -S ",B15,"\",C15," -d ",D15," -U ",E15," -P ",F15," -i ",MENU!$E$6,A15,"\",G15,".sql -o ",MENU!$B$9,G15, ".txt &amp; ",H15)))))</f>
        <v>sqlcmd -E -S UEIHNE01\SQLEXPRESS -d BDHIS_MINSA -i C:\HISMINSA\Scripts\ITSVIH\dbo.TRAMA_BASE_ITS_VIH_RPT06_01_GESTANTES_RN_NOMINAL.Table.sql -o C:\HISMINSA\Resultados\dbo.TRAMA_BASE_ITS_VIH_RPT06_01_GESTANTES_RN_NOMINAL.Table.txt &amp; @echo Script  ejecutado en la Base de datos UEIHNE01/SQLEXPRESS/BDHIS_MINSA</v>
      </c>
    </row>
    <row r="16" spans="1:9" ht="43.5" customHeight="1" thickBot="1" x14ac:dyDescent="0.25">
      <c r="A16" s="4" t="s">
        <v>78</v>
      </c>
      <c r="B16" s="4" t="str">
        <f>IF(MENU!$B$6="","INGRESE SERVIDOR",MENU!$B$6)</f>
        <v>UEIHNE01</v>
      </c>
      <c r="C16" s="13" t="str">
        <f>IF(MENU!$D$6="","",MENU!$D$6)</f>
        <v>SQLEXPRESS</v>
      </c>
      <c r="D16" s="5" t="str">
        <f>IF(MENU!$C$6="","INGRESE BASE",MENU!$C$6)</f>
        <v>BDHIS_MINSA</v>
      </c>
      <c r="E16" s="13" t="str">
        <f>IF(MENU!$C$9="","",MENU!$C$9)</f>
        <v/>
      </c>
      <c r="F16" s="13" t="str">
        <f>IF(MENU!$D$9="","",MENU!$D$9)</f>
        <v/>
      </c>
      <c r="G16" s="8" t="s">
        <v>143</v>
      </c>
      <c r="H16" s="5" t="str">
        <f t="shared" si="0"/>
        <v>@echo Script  ejecutado en la Base de datos UEIHNE01/SQLEXPRESS/BDHIS_MINSA</v>
      </c>
      <c r="I16" s="4" t="str">
        <f>IF(OR(E16="",F16=""),IF(C16="",IF(G16="","",(CONCATENATE("sqlcmd -E -S ",B16," -d ",D16," -i ",MENU!$E$6,A16,"\",G16,".sql -o ",MENU!$B$9,G16, ".txt &amp; ",H16))),IF(G16="","",(CONCATENATE("sqlcmd -E -S ",B16,"\",C16," -d ",D16," -i ",MENU!$E$6,A16,"\",G16,".sql -o ",MENU!$B$9,G16, ".txt &amp; ",H16)))),IF(C16="",IF(G16="","",(CONCATENATE("sqlcmd -S ",B16," -d ",D16," -U ",E16," -P ",F16," -i ",MENU!$E$6,A16,"\",G16,".sql -o ",MENU!$B$9,G16, ".txt &amp; ",H16))),IF(G16="","",(CONCATENATE("sqlcmd -S ",B16,"\",C16," -d ",D16," -U ",E16," -P ",F16," -i ",MENU!$E$6,A16,"\",G16,".sql -o ",MENU!$B$9,G16, ".txt &amp; ",H16)))))</f>
        <v>sqlcmd -E -S UEIHNE01\SQLEXPRESS -d BDHIS_MINSA -i C:\HISMINSA\Scripts\ITSVIH\dbo.TRAMA_BASE_ITS_VIH_RPT06_02_GESTANTES_RN_CONSOLIDADO.Table.sql -o C:\HISMINSA\Resultados\dbo.TRAMA_BASE_ITS_VIH_RPT06_02_GESTANTES_RN_CONSOLIDADO.Table.txt &amp; @echo Script  ejecutado en la Base de datos UEIHNE01/SQLEXPRESS/BDHIS_MINSA</v>
      </c>
    </row>
    <row r="17" spans="1:9" ht="43.5" customHeight="1" thickBot="1" x14ac:dyDescent="0.25">
      <c r="A17" s="4" t="s">
        <v>78</v>
      </c>
      <c r="B17" s="4" t="str">
        <f>IF(MENU!$B$6="","INGRESE SERVIDOR",MENU!$B$6)</f>
        <v>UEIHNE01</v>
      </c>
      <c r="C17" s="13" t="str">
        <f>IF(MENU!$D$6="","",MENU!$D$6)</f>
        <v>SQLEXPRESS</v>
      </c>
      <c r="D17" s="5" t="str">
        <f>IF(MENU!$C$6="","INGRESE BASE",MENU!$C$6)</f>
        <v>BDHIS_MINSA</v>
      </c>
      <c r="E17" s="13" t="str">
        <f>IF(MENU!$C$9="","",MENU!$C$9)</f>
        <v/>
      </c>
      <c r="F17" s="13" t="str">
        <f>IF(MENU!$D$9="","",MENU!$D$9)</f>
        <v/>
      </c>
      <c r="G17" s="8" t="s">
        <v>144</v>
      </c>
      <c r="H17" s="5" t="str">
        <f t="shared" si="0"/>
        <v>@echo Script  ejecutado en la Base de datos UEIHNE01/SQLEXPRESS/BDHIS_MINSA</v>
      </c>
      <c r="I17" s="4" t="str">
        <f>IF(OR(E17="",F17=""),IF(C17="",IF(G17="","",(CONCATENATE("sqlcmd -E -S ",B17," -d ",D17," -i ",MENU!$E$6,A17,"\",G17,".sql -o ",MENU!$B$9,G17, ".txt &amp; ",H17))),IF(G17="","",(CONCATENATE("sqlcmd -E -S ",B17,"\",C17," -d ",D17," -i ",MENU!$E$6,A17,"\",G17,".sql -o ",MENU!$B$9,G17, ".txt &amp; ",H17)))),IF(C17="",IF(G17="","",(CONCATENATE("sqlcmd -S ",B17," -d ",D17," -U ",E17," -P ",F17," -i ",MENU!$E$6,A17,"\",G17,".sql -o ",MENU!$B$9,G17, ".txt &amp; ",H17))),IF(G17="","",(CONCATENATE("sqlcmd -S ",B17,"\",C17," -d ",D17," -U ",E17," -P ",F17," -i ",MENU!$E$6,A17,"\",G17,".sql -o ",MENU!$B$9,G17, ".txt &amp; ",H17)))))</f>
        <v>sqlcmd -E -S UEIHNE01\SQLEXPRESS -d BDHIS_MINSA -i C:\HISMINSA\Scripts\ITSVIH\dbo.TRAMA_BASE_ITS_VIH_RPT06_02_GESTANTES_RN_NOMINAL.Table.sql -o C:\HISMINSA\Resultados\dbo.TRAMA_BASE_ITS_VIH_RPT06_02_GESTANTES_RN_NOMINAL.Table.txt &amp; @echo Script  ejecutado en la Base de datos UEIHNE01/SQLEXPRESS/BDHIS_MINSA</v>
      </c>
    </row>
    <row r="18" spans="1:9" ht="43.5" customHeight="1" thickBot="1" x14ac:dyDescent="0.25">
      <c r="A18" s="4" t="s">
        <v>78</v>
      </c>
      <c r="B18" s="4" t="str">
        <f>IF(MENU!$B$6="","INGRESE SERVIDOR",MENU!$B$6)</f>
        <v>UEIHNE01</v>
      </c>
      <c r="C18" s="13" t="str">
        <f>IF(MENU!$D$6="","",MENU!$D$6)</f>
        <v>SQLEXPRESS</v>
      </c>
      <c r="D18" s="5" t="str">
        <f>IF(MENU!$C$6="","INGRESE BASE",MENU!$C$6)</f>
        <v>BDHIS_MINSA</v>
      </c>
      <c r="E18" s="13" t="str">
        <f>IF(MENU!$C$9="","",MENU!$C$9)</f>
        <v/>
      </c>
      <c r="F18" s="13" t="str">
        <f>IF(MENU!$D$9="","",MENU!$D$9)</f>
        <v/>
      </c>
      <c r="G18" s="8" t="s">
        <v>145</v>
      </c>
      <c r="H18" s="5" t="str">
        <f t="shared" si="0"/>
        <v>@echo Script  ejecutado en la Base de datos UEIHNE01/SQLEXPRESS/BDHIS_MINSA</v>
      </c>
      <c r="I18" s="4" t="str">
        <f>IF(OR(E18="",F18=""),IF(C18="",IF(G18="","",(CONCATENATE("sqlcmd -E -S ",B18," -d ",D18," -i ",MENU!$E$6,A18,"\",G18,".sql -o ",MENU!$B$9,G18, ".txt &amp; ",H18))),IF(G18="","",(CONCATENATE("sqlcmd -E -S ",B18,"\",C18," -d ",D18," -i ",MENU!$E$6,A18,"\",G18,".sql -o ",MENU!$B$9,G18, ".txt &amp; ",H18)))),IF(C18="",IF(G18="","",(CONCATENATE("sqlcmd -S ",B18," -d ",D18," -U ",E18," -P ",F18," -i ",MENU!$E$6,A18,"\",G18,".sql -o ",MENU!$B$9,G18, ".txt &amp; ",H18))),IF(G18="","",(CONCATENATE("sqlcmd -S ",B18,"\",C18," -d ",D18," -U ",E18," -P ",F18," -i ",MENU!$E$6,A18,"\",G18,".sql -o ",MENU!$B$9,G18, ".txt &amp; ",H18)))))</f>
        <v>sqlcmd -E -S UEIHNE01\SQLEXPRESS -d BDHIS_MINSA -i C:\HISMINSA\Scripts\ITSVIH\dbo.TRAMA_BASE_ITS_VIH_RPT06_03_GESTANTES_RN_CONSOLIDADO.Table.sql -o C:\HISMINSA\Resultados\dbo.TRAMA_BASE_ITS_VIH_RPT06_03_GESTANTES_RN_CONSOLIDADO.Table.txt &amp; @echo Script  ejecutado en la Base de datos UEIHNE01/SQLEXPRESS/BDHIS_MINSA</v>
      </c>
    </row>
    <row r="19" spans="1:9" ht="43.5" customHeight="1" thickBot="1" x14ac:dyDescent="0.25">
      <c r="A19" s="4" t="s">
        <v>78</v>
      </c>
      <c r="B19" s="4" t="str">
        <f>IF(MENU!$B$6="","INGRESE SERVIDOR",MENU!$B$6)</f>
        <v>UEIHNE01</v>
      </c>
      <c r="C19" s="13" t="str">
        <f>IF(MENU!$D$6="","",MENU!$D$6)</f>
        <v>SQLEXPRESS</v>
      </c>
      <c r="D19" s="5" t="str">
        <f>IF(MENU!$C$6="","INGRESE BASE",MENU!$C$6)</f>
        <v>BDHIS_MINSA</v>
      </c>
      <c r="E19" s="13" t="str">
        <f>IF(MENU!$C$9="","",MENU!$C$9)</f>
        <v/>
      </c>
      <c r="F19" s="13" t="str">
        <f>IF(MENU!$D$9="","",MENU!$D$9)</f>
        <v/>
      </c>
      <c r="G19" s="8" t="s">
        <v>146</v>
      </c>
      <c r="H19" s="5" t="str">
        <f t="shared" si="0"/>
        <v>@echo Script  ejecutado en la Base de datos UEIHNE01/SQLEXPRESS/BDHIS_MINSA</v>
      </c>
      <c r="I19" s="4" t="str">
        <f>IF(OR(E19="",F19=""),IF(C19="",IF(G19="","",(CONCATENATE("sqlcmd -E -S ",B19," -d ",D19," -i ",MENU!$E$6,A19,"\",G19,".sql -o ",MENU!$B$9,G19, ".txt &amp; ",H19))),IF(G19="","",(CONCATENATE("sqlcmd -E -S ",B19,"\",C19," -d ",D19," -i ",MENU!$E$6,A19,"\",G19,".sql -o ",MENU!$B$9,G19, ".txt &amp; ",H19)))),IF(C19="",IF(G19="","",(CONCATENATE("sqlcmd -S ",B19," -d ",D19," -U ",E19," -P ",F19," -i ",MENU!$E$6,A19,"\",G19,".sql -o ",MENU!$B$9,G19, ".txt &amp; ",H19))),IF(G19="","",(CONCATENATE("sqlcmd -S ",B19,"\",C19," -d ",D19," -U ",E19," -P ",F19," -i ",MENU!$E$6,A19,"\",G19,".sql -o ",MENU!$B$9,G19, ".txt &amp; ",H19)))))</f>
        <v>sqlcmd -E -S UEIHNE01\SQLEXPRESS -d BDHIS_MINSA -i C:\HISMINSA\Scripts\ITSVIH\dbo.TRAMA_BASE_ITS_VIH_RPT06_03_GESTANTES_RN_NOMINAL.Table.sql -o C:\HISMINSA\Resultados\dbo.TRAMA_BASE_ITS_VIH_RPT06_03_GESTANTES_RN_NOMINAL.Table.txt &amp; @echo Script  ejecutado en la Base de datos UEIHNE01/SQLEXPRESS/BDHIS_MINSA</v>
      </c>
    </row>
    <row r="20" spans="1:9" ht="43.5" customHeight="1" thickBot="1" x14ac:dyDescent="0.25">
      <c r="A20" s="4" t="s">
        <v>78</v>
      </c>
      <c r="B20" s="4" t="str">
        <f>IF(MENU!$B$6="","INGRESE SERVIDOR",MENU!$B$6)</f>
        <v>UEIHNE01</v>
      </c>
      <c r="C20" s="13" t="str">
        <f>IF(MENU!$D$6="","",MENU!$D$6)</f>
        <v>SQLEXPRESS</v>
      </c>
      <c r="D20" s="5" t="str">
        <f>IF(MENU!$C$6="","INGRESE BASE",MENU!$C$6)</f>
        <v>BDHIS_MINSA</v>
      </c>
      <c r="E20" s="13" t="str">
        <f>IF(MENU!$C$9="","",MENU!$C$9)</f>
        <v/>
      </c>
      <c r="F20" s="13" t="str">
        <f>IF(MENU!$D$9="","",MENU!$D$9)</f>
        <v/>
      </c>
      <c r="G20" s="8" t="s">
        <v>147</v>
      </c>
      <c r="H20" s="5" t="str">
        <f t="shared" si="0"/>
        <v>@echo Script  ejecutado en la Base de datos UEIHNE01/SQLEXPRESS/BDHIS_MINSA</v>
      </c>
      <c r="I20" s="4" t="str">
        <f>IF(OR(E20="",F20=""),IF(C20="",IF(G20="","",(CONCATENATE("sqlcmd -E -S ",B20," -d ",D20," -i ",MENU!$E$6,A20,"\",G20,".sql -o ",MENU!$B$9,G20, ".txt &amp; ",H20))),IF(G20="","",(CONCATENATE("sqlcmd -E -S ",B20,"\",C20," -d ",D20," -i ",MENU!$E$6,A20,"\",G20,".sql -o ",MENU!$B$9,G20, ".txt &amp; ",H20)))),IF(C20="",IF(G20="","",(CONCATENATE("sqlcmd -S ",B20," -d ",D20," -U ",E20," -P ",F20," -i ",MENU!$E$6,A20,"\",G20,".sql -o ",MENU!$B$9,G20, ".txt &amp; ",H20))),IF(G20="","",(CONCATENATE("sqlcmd -S ",B20,"\",C20," -d ",D20," -U ",E20," -P ",F20," -i ",MENU!$E$6,A20,"\",G20,".sql -o ",MENU!$B$9,G20, ".txt &amp; ",H20)))))</f>
        <v>sqlcmd -E -S UEIHNE01\SQLEXPRESS -d BDHIS_MINSA -i C:\HISMINSA\Scripts\ITSVIH\dbo.TRAMA_BASE_ITS_VIH_RPT07_TRABAJADORES_SEXUALES_CONSOLIDADO.Table.sql -o C:\HISMINSA\Resultados\dbo.TRAMA_BASE_ITS_VIH_RPT07_TRABAJADORES_SEXUALES_CONSOLIDADO.Table.txt &amp; @echo Script  ejecutado en la Base de datos UEIHNE01/SQLEXPRESS/BDHIS_MINSA</v>
      </c>
    </row>
    <row r="21" spans="1:9" ht="43.5" customHeight="1" thickBot="1" x14ac:dyDescent="0.25">
      <c r="A21" s="4" t="s">
        <v>78</v>
      </c>
      <c r="B21" s="4" t="str">
        <f>IF(MENU!$B$6="","INGRESE SERVIDOR",MENU!$B$6)</f>
        <v>UEIHNE01</v>
      </c>
      <c r="C21" s="13" t="str">
        <f>IF(MENU!$D$6="","",MENU!$D$6)</f>
        <v>SQLEXPRESS</v>
      </c>
      <c r="D21" s="5" t="str">
        <f>IF(MENU!$C$6="","INGRESE BASE",MENU!$C$6)</f>
        <v>BDHIS_MINSA</v>
      </c>
      <c r="E21" s="13" t="str">
        <f>IF(MENU!$C$9="","",MENU!$C$9)</f>
        <v/>
      </c>
      <c r="F21" s="13" t="str">
        <f>IF(MENU!$D$9="","",MENU!$D$9)</f>
        <v/>
      </c>
      <c r="G21" s="8" t="s">
        <v>148</v>
      </c>
      <c r="H21" s="5" t="str">
        <f t="shared" si="0"/>
        <v>@echo Script  ejecutado en la Base de datos UEIHNE01/SQLEXPRESS/BDHIS_MINSA</v>
      </c>
      <c r="I21" s="4" t="str">
        <f>IF(OR(E21="",F21=""),IF(C21="",IF(G21="","",(CONCATENATE("sqlcmd -E -S ",B21," -d ",D21," -i ",MENU!$E$6,A21,"\",G21,".sql -o ",MENU!$B$9,G21, ".txt &amp; ",H21))),IF(G21="","",(CONCATENATE("sqlcmd -E -S ",B21,"\",C21," -d ",D21," -i ",MENU!$E$6,A21,"\",G21,".sql -o ",MENU!$B$9,G21, ".txt &amp; ",H21)))),IF(C21="",IF(G21="","",(CONCATENATE("sqlcmd -S ",B21," -d ",D21," -U ",E21," -P ",F21," -i ",MENU!$E$6,A21,"\",G21,".sql -o ",MENU!$B$9,G21, ".txt &amp; ",H21))),IF(G21="","",(CONCATENATE("sqlcmd -S ",B21,"\",C21," -d ",D21," -U ",E21," -P ",F21," -i ",MENU!$E$6,A21,"\",G21,".sql -o ",MENU!$B$9,G21, ".txt &amp; ",H21)))))</f>
        <v>sqlcmd -E -S UEIHNE01\SQLEXPRESS -d BDHIS_MINSA -i C:\HISMINSA\Scripts\ITSVIH\dbo.TRAMA_BASE_ITS_VIH_RPT07_TRABAJADORES_SEXUALES_NOMINAL.Table.sql -o C:\HISMINSA\Resultados\dbo.TRAMA_BASE_ITS_VIH_RPT07_TRABAJADORES_SEXUALES_NOMINAL.Table.txt &amp; @echo Script  ejecutado en la Base de datos UEIHNE01/SQLEXPRESS/BDHIS_MINSA</v>
      </c>
    </row>
    <row r="22" spans="1:9" ht="43.5" customHeight="1" thickBot="1" x14ac:dyDescent="0.25">
      <c r="A22" s="4" t="s">
        <v>78</v>
      </c>
      <c r="B22" s="4" t="str">
        <f>IF(MENU!$B$6="","INGRESE SERVIDOR",MENU!$B$6)</f>
        <v>UEIHNE01</v>
      </c>
      <c r="C22" s="13" t="str">
        <f>IF(MENU!$D$6="","",MENU!$D$6)</f>
        <v>SQLEXPRESS</v>
      </c>
      <c r="D22" s="5" t="str">
        <f>IF(MENU!$C$6="","INGRESE BASE",MENU!$C$6)</f>
        <v>BDHIS_MINSA</v>
      </c>
      <c r="E22" s="13" t="str">
        <f>IF(MENU!$C$9="","",MENU!$C$9)</f>
        <v/>
      </c>
      <c r="F22" s="13" t="str">
        <f>IF(MENU!$D$9="","",MENU!$D$9)</f>
        <v/>
      </c>
      <c r="G22" s="8" t="s">
        <v>149</v>
      </c>
      <c r="H22" s="5" t="str">
        <f t="shared" si="0"/>
        <v>@echo Script  ejecutado en la Base de datos UEIHNE01/SQLEXPRESS/BDHIS_MINSA</v>
      </c>
      <c r="I22" s="4" t="str">
        <f>IF(OR(E22="",F22=""),IF(C22="",IF(G22="","",(CONCATENATE("sqlcmd -E -S ",B22," -d ",D22," -i ",MENU!$E$6,A22,"\",G22,".sql -o ",MENU!$B$9,G22, ".txt &amp; ",H22))),IF(G22="","",(CONCATENATE("sqlcmd -E -S ",B22,"\",C22," -d ",D22," -i ",MENU!$E$6,A22,"\",G22,".sql -o ",MENU!$B$9,G22, ".txt &amp; ",H22)))),IF(C22="",IF(G22="","",(CONCATENATE("sqlcmd -S ",B22," -d ",D22," -U ",E22," -P ",F22," -i ",MENU!$E$6,A22,"\",G22,".sql -o ",MENU!$B$9,G22, ".txt &amp; ",H22))),IF(G22="","",(CONCATENATE("sqlcmd -S ",B22,"\",C22," -d ",D22," -U ",E22," -P ",F22," -i ",MENU!$E$6,A22,"\",G22,".sql -o ",MENU!$B$9,G22, ".txt &amp; ",H22)))))</f>
        <v>sqlcmd -E -S UEIHNE01\SQLEXPRESS -d BDHIS_MINSA -i C:\HISMINSA\Scripts\ITSVIH\dbo.TRAMA_BASE_ITS_VIH_RPT08_01_TRABAJADORES_SEXUALES_ITS_TRATADOS_CONSOLIDADO.Table.sql -o C:\HISMINSA\Resultados\dbo.TRAMA_BASE_ITS_VIH_RPT08_01_TRABAJADORES_SEXUALES_ITS_TRATADOS_CONSOLIDADO.Table.txt &amp; @echo Script  ejecutado en la Base de datos UEIHNE01/SQLEXPRESS/BDHIS_MINSA</v>
      </c>
    </row>
    <row r="23" spans="1:9" ht="43.5" customHeight="1" thickBot="1" x14ac:dyDescent="0.25">
      <c r="A23" s="4" t="s">
        <v>78</v>
      </c>
      <c r="B23" s="4" t="str">
        <f>IF(MENU!$B$6="","INGRESE SERVIDOR",MENU!$B$6)</f>
        <v>UEIHNE01</v>
      </c>
      <c r="C23" s="13" t="str">
        <f>IF(MENU!$D$6="","",MENU!$D$6)</f>
        <v>SQLEXPRESS</v>
      </c>
      <c r="D23" s="5" t="str">
        <f>IF(MENU!$C$6="","INGRESE BASE",MENU!$C$6)</f>
        <v>BDHIS_MINSA</v>
      </c>
      <c r="E23" s="13" t="str">
        <f>IF(MENU!$C$9="","",MENU!$C$9)</f>
        <v/>
      </c>
      <c r="F23" s="13" t="str">
        <f>IF(MENU!$D$9="","",MENU!$D$9)</f>
        <v/>
      </c>
      <c r="G23" s="8" t="s">
        <v>150</v>
      </c>
      <c r="H23" s="5" t="str">
        <f t="shared" si="0"/>
        <v>@echo Script  ejecutado en la Base de datos UEIHNE01/SQLEXPRESS/BDHIS_MINSA</v>
      </c>
      <c r="I23" s="4" t="str">
        <f>IF(OR(E23="",F23=""),IF(C23="",IF(G23="","",(CONCATENATE("sqlcmd -E -S ",B23," -d ",D23," -i ",MENU!$E$6,A23,"\",G23,".sql -o ",MENU!$B$9,G23, ".txt &amp; ",H23))),IF(G23="","",(CONCATENATE("sqlcmd -E -S ",B23,"\",C23," -d ",D23," -i ",MENU!$E$6,A23,"\",G23,".sql -o ",MENU!$B$9,G23, ".txt &amp; ",H23)))),IF(C23="",IF(G23="","",(CONCATENATE("sqlcmd -S ",B23," -d ",D23," -U ",E23," -P ",F23," -i ",MENU!$E$6,A23,"\",G23,".sql -o ",MENU!$B$9,G23, ".txt &amp; ",H23))),IF(G23="","",(CONCATENATE("sqlcmd -S ",B23,"\",C23," -d ",D23," -U ",E23," -P ",F23," -i ",MENU!$E$6,A23,"\",G23,".sql -o ",MENU!$B$9,G23, ".txt &amp; ",H23)))))</f>
        <v>sqlcmd -E -S UEIHNE01\SQLEXPRESS -d BDHIS_MINSA -i C:\HISMINSA\Scripts\ITSVIH\dbo.TRAMA_BASE_ITS_VIH_RPT08_01_TRABAJADORES_SEXUALES_ITS_TRATADOS_NOMINAL.Table.sql -o C:\HISMINSA\Resultados\dbo.TRAMA_BASE_ITS_VIH_RPT08_01_TRABAJADORES_SEXUALES_ITS_TRATADOS_NOMINAL.Table.txt &amp; @echo Script  ejecutado en la Base de datos UEIHNE01/SQLEXPRESS/BDHIS_MINSA</v>
      </c>
    </row>
    <row r="24" spans="1:9" ht="43.5" customHeight="1" thickBot="1" x14ac:dyDescent="0.25">
      <c r="A24" s="4" t="s">
        <v>78</v>
      </c>
      <c r="B24" s="4" t="str">
        <f>IF(MENU!$B$6="","INGRESE SERVIDOR",MENU!$B$6)</f>
        <v>UEIHNE01</v>
      </c>
      <c r="C24" s="13" t="str">
        <f>IF(MENU!$D$6="","",MENU!$D$6)</f>
        <v>SQLEXPRESS</v>
      </c>
      <c r="D24" s="5" t="str">
        <f>IF(MENU!$C$6="","INGRESE BASE",MENU!$C$6)</f>
        <v>BDHIS_MINSA</v>
      </c>
      <c r="E24" s="13" t="str">
        <f>IF(MENU!$C$9="","",MENU!$C$9)</f>
        <v/>
      </c>
      <c r="F24" s="13" t="str">
        <f>IF(MENU!$D$9="","",MENU!$D$9)</f>
        <v/>
      </c>
      <c r="G24" s="8" t="s">
        <v>151</v>
      </c>
      <c r="H24" s="5" t="str">
        <f t="shared" si="0"/>
        <v>@echo Script  ejecutado en la Base de datos UEIHNE01/SQLEXPRESS/BDHIS_MINSA</v>
      </c>
      <c r="I24" s="4" t="str">
        <f>IF(OR(E24="",F24=""),IF(C24="",IF(G24="","",(CONCATENATE("sqlcmd -E -S ",B24," -d ",D24," -i ",MENU!$E$6,A24,"\",G24,".sql -o ",MENU!$B$9,G24, ".txt &amp; ",H24))),IF(G24="","",(CONCATENATE("sqlcmd -E -S ",B24,"\",C24," -d ",D24," -i ",MENU!$E$6,A24,"\",G24,".sql -o ",MENU!$B$9,G24, ".txt &amp; ",H24)))),IF(C24="",IF(G24="","",(CONCATENATE("sqlcmd -S ",B24," -d ",D24," -U ",E24," -P ",F24," -i ",MENU!$E$6,A24,"\",G24,".sql -o ",MENU!$B$9,G24, ".txt &amp; ",H24))),IF(G24="","",(CONCATENATE("sqlcmd -S ",B24,"\",C24," -d ",D24," -U ",E24," -P ",F24," -i ",MENU!$E$6,A24,"\",G24,".sql -o ",MENU!$B$9,G24, ".txt &amp; ",H24)))))</f>
        <v>sqlcmd -E -S UEIHNE01\SQLEXPRESS -d BDHIS_MINSA -i C:\HISMINSA\Scripts\ITSVIH\dbo.TRAMA_BASE_ITS_VIH_RPT08_TRABAJADORES_SEXUALES_ITS_CONSOLIDADO.Table.sql -o C:\HISMINSA\Resultados\dbo.TRAMA_BASE_ITS_VIH_RPT08_TRABAJADORES_SEXUALES_ITS_CONSOLIDADO.Table.txt &amp; @echo Script  ejecutado en la Base de datos UEIHNE01/SQLEXPRESS/BDHIS_MINSA</v>
      </c>
    </row>
    <row r="25" spans="1:9" ht="43.5" customHeight="1" thickBot="1" x14ac:dyDescent="0.25">
      <c r="A25" s="4" t="s">
        <v>78</v>
      </c>
      <c r="B25" s="4" t="str">
        <f>IF(MENU!$B$6="","INGRESE SERVIDOR",MENU!$B$6)</f>
        <v>UEIHNE01</v>
      </c>
      <c r="C25" s="13" t="str">
        <f>IF(MENU!$D$6="","",MENU!$D$6)</f>
        <v>SQLEXPRESS</v>
      </c>
      <c r="D25" s="5" t="str">
        <f>IF(MENU!$C$6="","INGRESE BASE",MENU!$C$6)</f>
        <v>BDHIS_MINSA</v>
      </c>
      <c r="E25" s="13" t="str">
        <f>IF(MENU!$C$9="","",MENU!$C$9)</f>
        <v/>
      </c>
      <c r="F25" s="13" t="str">
        <f>IF(MENU!$D$9="","",MENU!$D$9)</f>
        <v/>
      </c>
      <c r="G25" s="8" t="s">
        <v>152</v>
      </c>
      <c r="H25" s="5" t="str">
        <f t="shared" si="0"/>
        <v>@echo Script  ejecutado en la Base de datos UEIHNE01/SQLEXPRESS/BDHIS_MINSA</v>
      </c>
      <c r="I25" s="4" t="str">
        <f>IF(OR(E25="",F25=""),IF(C25="",IF(G25="","",(CONCATENATE("sqlcmd -E -S ",B25," -d ",D25," -i ",MENU!$E$6,A25,"\",G25,".sql -o ",MENU!$B$9,G25, ".txt &amp; ",H25))),IF(G25="","",(CONCATENATE("sqlcmd -E -S ",B25,"\",C25," -d ",D25," -i ",MENU!$E$6,A25,"\",G25,".sql -o ",MENU!$B$9,G25, ".txt &amp; ",H25)))),IF(C25="",IF(G25="","",(CONCATENATE("sqlcmd -S ",B25," -d ",D25," -U ",E25," -P ",F25," -i ",MENU!$E$6,A25,"\",G25,".sql -o ",MENU!$B$9,G25, ".txt &amp; ",H25))),IF(G25="","",(CONCATENATE("sqlcmd -S ",B25,"\",C25," -d ",D25," -U ",E25," -P ",F25," -i ",MENU!$E$6,A25,"\",G25,".sql -o ",MENU!$B$9,G25, ".txt &amp; ",H25)))))</f>
        <v>sqlcmd -E -S UEIHNE01\SQLEXPRESS -d BDHIS_MINSA -i C:\HISMINSA\Scripts\ITSVIH\dbo.TRAMA_BASE_ITS_VIH_RPT08_TRABAJADORES_SEXUALES_ITS_NOMINAL.Table.sql -o C:\HISMINSA\Resultados\dbo.TRAMA_BASE_ITS_VIH_RPT08_TRABAJADORES_SEXUALES_ITS_NOMINAL.Table.txt &amp; @echo Script  ejecutado en la Base de datos UEIHNE01/SQLEXPRESS/BDHIS_MINSA</v>
      </c>
    </row>
    <row r="26" spans="1:9" ht="43.5" customHeight="1" thickBot="1" x14ac:dyDescent="0.25">
      <c r="A26" s="4" t="s">
        <v>78</v>
      </c>
      <c r="B26" s="4" t="str">
        <f>IF(MENU!$B$6="","INGRESE SERVIDOR",MENU!$B$6)</f>
        <v>UEIHNE01</v>
      </c>
      <c r="C26" s="13" t="str">
        <f>IF(MENU!$D$6="","",MENU!$D$6)</f>
        <v>SQLEXPRESS</v>
      </c>
      <c r="D26" s="5" t="str">
        <f>IF(MENU!$C$6="","INGRESE BASE",MENU!$C$6)</f>
        <v>BDHIS_MINSA</v>
      </c>
      <c r="E26" s="13" t="str">
        <f>IF(MENU!$C$9="","",MENU!$C$9)</f>
        <v/>
      </c>
      <c r="F26" s="13" t="str">
        <f>IF(MENU!$D$9="","",MENU!$D$9)</f>
        <v/>
      </c>
      <c r="G26" s="8" t="s">
        <v>153</v>
      </c>
      <c r="H26" s="5" t="str">
        <f t="shared" si="0"/>
        <v>@echo Script  ejecutado en la Base de datos UEIHNE01/SQLEXPRESS/BDHIS_MINSA</v>
      </c>
      <c r="I26" s="4" t="str">
        <f>IF(OR(E26="",F26=""),IF(C26="",IF(G26="","",(CONCATENATE("sqlcmd -E -S ",B26," -d ",D26," -i ",MENU!$E$6,A26,"\",G26,".sql -o ",MENU!$B$9,G26, ".txt &amp; ",H26))),IF(G26="","",(CONCATENATE("sqlcmd -E -S ",B26,"\",C26," -d ",D26," -i ",MENU!$E$6,A26,"\",G26,".sql -o ",MENU!$B$9,G26, ".txt &amp; ",H26)))),IF(C26="",IF(G26="","",(CONCATENATE("sqlcmd -S ",B26," -d ",D26," -U ",E26," -P ",F26," -i ",MENU!$E$6,A26,"\",G26,".sql -o ",MENU!$B$9,G26, ".txt &amp; ",H26))),IF(G26="","",(CONCATENATE("sqlcmd -S ",B26,"\",C26," -d ",D26," -U ",E26," -P ",F26," -i ",MENU!$E$6,A26,"\",G26,".sql -o ",MENU!$B$9,G26, ".txt &amp; ",H26)))))</f>
        <v>sqlcmd -E -S UEIHNE01\SQLEXPRESS -d BDHIS_MINSA -i C:\HISMINSA\Scripts\ITSVIH\dbo.TRAMA_BASE_ITS_VIH_RPT09_TRANS_CONSOLIDADO.Table.sql -o C:\HISMINSA\Resultados\dbo.TRAMA_BASE_ITS_VIH_RPT09_TRANS_CONSOLIDADO.Table.txt &amp; @echo Script  ejecutado en la Base de datos UEIHNE01/SQLEXPRESS/BDHIS_MINSA</v>
      </c>
    </row>
    <row r="27" spans="1:9" ht="43.5" customHeight="1" thickBot="1" x14ac:dyDescent="0.25">
      <c r="A27" s="4" t="s">
        <v>78</v>
      </c>
      <c r="B27" s="4" t="str">
        <f>IF(MENU!$B$6="","INGRESE SERVIDOR",MENU!$B$6)</f>
        <v>UEIHNE01</v>
      </c>
      <c r="C27" s="13" t="str">
        <f>IF(MENU!$D$6="","",MENU!$D$6)</f>
        <v>SQLEXPRESS</v>
      </c>
      <c r="D27" s="5" t="str">
        <f>IF(MENU!$C$6="","INGRESE BASE",MENU!$C$6)</f>
        <v>BDHIS_MINSA</v>
      </c>
      <c r="E27" s="13" t="str">
        <f>IF(MENU!$C$9="","",MENU!$C$9)</f>
        <v/>
      </c>
      <c r="F27" s="13" t="str">
        <f>IF(MENU!$D$9="","",MENU!$D$9)</f>
        <v/>
      </c>
      <c r="G27" s="8" t="s">
        <v>154</v>
      </c>
      <c r="H27" s="5" t="str">
        <f t="shared" si="0"/>
        <v>@echo Script  ejecutado en la Base de datos UEIHNE01/SQLEXPRESS/BDHIS_MINSA</v>
      </c>
      <c r="I27" s="4" t="str">
        <f>IF(OR(E27="",F27=""),IF(C27="",IF(G27="","",(CONCATENATE("sqlcmd -E -S ",B27," -d ",D27," -i ",MENU!$E$6,A27,"\",G27,".sql -o ",MENU!$B$9,G27, ".txt &amp; ",H27))),IF(G27="","",(CONCATENATE("sqlcmd -E -S ",B27,"\",C27," -d ",D27," -i ",MENU!$E$6,A27,"\",G27,".sql -o ",MENU!$B$9,G27, ".txt &amp; ",H27)))),IF(C27="",IF(G27="","",(CONCATENATE("sqlcmd -S ",B27," -d ",D27," -U ",E27," -P ",F27," -i ",MENU!$E$6,A27,"\",G27,".sql -o ",MENU!$B$9,G27, ".txt &amp; ",H27))),IF(G27="","",(CONCATENATE("sqlcmd -S ",B27,"\",C27," -d ",D27," -U ",E27," -P ",F27," -i ",MENU!$E$6,A27,"\",G27,".sql -o ",MENU!$B$9,G27, ".txt &amp; ",H27)))))</f>
        <v>sqlcmd -E -S UEIHNE01\SQLEXPRESS -d BDHIS_MINSA -i C:\HISMINSA\Scripts\ITSVIH\dbo.TRAMA_BASE_ITS_VIH_RPT09_TRANS_NOMINAL.Table.sql -o C:\HISMINSA\Resultados\dbo.TRAMA_BASE_ITS_VIH_RPT09_TRANS_NOMINAL.Table.txt &amp; @echo Script  ejecutado en la Base de datos UEIHNE01/SQLEXPRESS/BDHIS_MINSA</v>
      </c>
    </row>
    <row r="28" spans="1:9" ht="43.5" customHeight="1" thickBot="1" x14ac:dyDescent="0.25">
      <c r="A28" s="4" t="s">
        <v>78</v>
      </c>
      <c r="B28" s="4" t="str">
        <f>IF(MENU!$B$6="","INGRESE SERVIDOR",MENU!$B$6)</f>
        <v>UEIHNE01</v>
      </c>
      <c r="C28" s="13" t="str">
        <f>IF(MENU!$D$6="","",MENU!$D$6)</f>
        <v>SQLEXPRESS</v>
      </c>
      <c r="D28" s="5" t="str">
        <f>IF(MENU!$C$6="","INGRESE BASE",MENU!$C$6)</f>
        <v>BDHIS_MINSA</v>
      </c>
      <c r="E28" s="13" t="str">
        <f>IF(MENU!$C$9="","",MENU!$C$9)</f>
        <v/>
      </c>
      <c r="F28" s="13" t="str">
        <f>IF(MENU!$D$9="","",MENU!$D$9)</f>
        <v/>
      </c>
      <c r="G28" s="8" t="s">
        <v>155</v>
      </c>
      <c r="H28" s="5" t="str">
        <f t="shared" si="0"/>
        <v>@echo Script  ejecutado en la Base de datos UEIHNE01/SQLEXPRESS/BDHIS_MINSA</v>
      </c>
      <c r="I28" s="4" t="str">
        <f>IF(OR(E28="",F28=""),IF(C28="",IF(G28="","",(CONCATENATE("sqlcmd -E -S ",B28," -d ",D28," -i ",MENU!$E$6,A28,"\",G28,".sql -o ",MENU!$B$9,G28, ".txt &amp; ",H28))),IF(G28="","",(CONCATENATE("sqlcmd -E -S ",B28,"\",C28," -d ",D28," -i ",MENU!$E$6,A28,"\",G28,".sql -o ",MENU!$B$9,G28, ".txt &amp; ",H28)))),IF(C28="",IF(G28="","",(CONCATENATE("sqlcmd -S ",B28," -d ",D28," -U ",E28," -P ",F28," -i ",MENU!$E$6,A28,"\",G28,".sql -o ",MENU!$B$9,G28, ".txt &amp; ",H28))),IF(G28="","",(CONCATENATE("sqlcmd -S ",B28,"\",C28," -d ",D28," -U ",E28," -P ",F28," -i ",MENU!$E$6,A28,"\",G28,".sql -o ",MENU!$B$9,G28, ".txt &amp; ",H28)))))</f>
        <v>sqlcmd -E -S UEIHNE01\SQLEXPRESS -d BDHIS_MINSA -i C:\HISMINSA\Scripts\ITSVIH\dbo.TRAMA_BASE_ITS_VIH_RPT10_TRABAJADORES_SEXUALES_TRANS_ITS_CONSOLIDADO.Table.sql -o C:\HISMINSA\Resultados\dbo.TRAMA_BASE_ITS_VIH_RPT10_TRABAJADORES_SEXUALES_TRANS_ITS_CONSOLIDADO.Table.txt &amp; @echo Script  ejecutado en la Base de datos UEIHNE01/SQLEXPRESS/BDHIS_MINSA</v>
      </c>
    </row>
    <row r="29" spans="1:9" ht="43.5" customHeight="1" thickBot="1" x14ac:dyDescent="0.25">
      <c r="A29" s="4" t="s">
        <v>78</v>
      </c>
      <c r="B29" s="4" t="str">
        <f>IF(MENU!$B$6="","INGRESE SERVIDOR",MENU!$B$6)</f>
        <v>UEIHNE01</v>
      </c>
      <c r="C29" s="13" t="str">
        <f>IF(MENU!$D$6="","",MENU!$D$6)</f>
        <v>SQLEXPRESS</v>
      </c>
      <c r="D29" s="5" t="str">
        <f>IF(MENU!$C$6="","INGRESE BASE",MENU!$C$6)</f>
        <v>BDHIS_MINSA</v>
      </c>
      <c r="E29" s="13" t="str">
        <f>IF(MENU!$C$9="","",MENU!$C$9)</f>
        <v/>
      </c>
      <c r="F29" s="13" t="str">
        <f>IF(MENU!$D$9="","",MENU!$D$9)</f>
        <v/>
      </c>
      <c r="G29" s="8" t="s">
        <v>156</v>
      </c>
      <c r="H29" s="5" t="str">
        <f t="shared" si="0"/>
        <v>@echo Script  ejecutado en la Base de datos UEIHNE01/SQLEXPRESS/BDHIS_MINSA</v>
      </c>
      <c r="I29" s="4" t="str">
        <f>IF(OR(E29="",F29=""),IF(C29="",IF(G29="","",(CONCATENATE("sqlcmd -E -S ",B29," -d ",D29," -i ",MENU!$E$6,A29,"\",G29,".sql -o ",MENU!$B$9,G29, ".txt &amp; ",H29))),IF(G29="","",(CONCATENATE("sqlcmd -E -S ",B29,"\",C29," -d ",D29," -i ",MENU!$E$6,A29,"\",G29,".sql -o ",MENU!$B$9,G29, ".txt &amp; ",H29)))),IF(C29="",IF(G29="","",(CONCATENATE("sqlcmd -S ",B29," -d ",D29," -U ",E29," -P ",F29," -i ",MENU!$E$6,A29,"\",G29,".sql -o ",MENU!$B$9,G29, ".txt &amp; ",H29))),IF(G29="","",(CONCATENATE("sqlcmd -S ",B29,"\",C29," -d ",D29," -U ",E29," -P ",F29," -i ",MENU!$E$6,A29,"\",G29,".sql -o ",MENU!$B$9,G29, ".txt &amp; ",H29)))))</f>
        <v>sqlcmd -E -S UEIHNE01\SQLEXPRESS -d BDHIS_MINSA -i C:\HISMINSA\Scripts\ITSVIH\dbo.TRAMA_BASE_ITS_VIH_RPT10_TRABAJADORES_SEXUALES_TRANS_ITS_NOMINAL.Table.sql -o C:\HISMINSA\Resultados\dbo.TRAMA_BASE_ITS_VIH_RPT10_TRABAJADORES_SEXUALES_TRANS_ITS_NOMINAL.Table.txt &amp; @echo Script  ejecutado en la Base de datos UEIHNE01/SQLEXPRESS/BDHIS_MINSA</v>
      </c>
    </row>
    <row r="30" spans="1:9" ht="43.5" customHeight="1" thickBot="1" x14ac:dyDescent="0.25">
      <c r="A30" s="4" t="s">
        <v>78</v>
      </c>
      <c r="B30" s="4" t="str">
        <f>IF(MENU!$B$6="","INGRESE SERVIDOR",MENU!$B$6)</f>
        <v>UEIHNE01</v>
      </c>
      <c r="C30" s="13" t="str">
        <f>IF(MENU!$D$6="","",MENU!$D$6)</f>
        <v>SQLEXPRESS</v>
      </c>
      <c r="D30" s="5" t="str">
        <f>IF(MENU!$C$6="","INGRESE BASE",MENU!$C$6)</f>
        <v>BDHIS_MINSA</v>
      </c>
      <c r="E30" s="13" t="str">
        <f>IF(MENU!$C$9="","",MENU!$C$9)</f>
        <v/>
      </c>
      <c r="F30" s="13" t="str">
        <f>IF(MENU!$D$9="","",MENU!$D$9)</f>
        <v/>
      </c>
      <c r="G30" s="8" t="s">
        <v>157</v>
      </c>
      <c r="H30" s="5" t="str">
        <f t="shared" si="0"/>
        <v>@echo Script  ejecutado en la Base de datos UEIHNE01/SQLEXPRESS/BDHIS_MINSA</v>
      </c>
      <c r="I30" s="4" t="str">
        <f>IF(OR(E30="",F30=""),IF(C30="",IF(G30="","",(CONCATENATE("sqlcmd -E -S ",B30," -d ",D30," -i ",MENU!$E$6,A30,"\",G30,".sql -o ",MENU!$B$9,G30, ".txt &amp; ",H30))),IF(G30="","",(CONCATENATE("sqlcmd -E -S ",B30,"\",C30," -d ",D30," -i ",MENU!$E$6,A30,"\",G30,".sql -o ",MENU!$B$9,G30, ".txt &amp; ",H30)))),IF(C30="",IF(G30="","",(CONCATENATE("sqlcmd -S ",B30," -d ",D30," -U ",E30," -P ",F30," -i ",MENU!$E$6,A30,"\",G30,".sql -o ",MENU!$B$9,G30, ".txt &amp; ",H30))),IF(G30="","",(CONCATENATE("sqlcmd -S ",B30,"\",C30," -d ",D30," -U ",E30," -P ",F30," -i ",MENU!$E$6,A30,"\",G30,".sql -o ",MENU!$B$9,G30, ".txt &amp; ",H30)))))</f>
        <v>sqlcmd -E -S UEIHNE01\SQLEXPRESS -d BDHIS_MINSA -i C:\HISMINSA\Scripts\ITSVIH\dbo.TRAMA_BASE_ITS_VIH_RPT10_TRABAJADORES_SEXUALES_TRANS_ITS_TRATADOS_CONSOLIDADO.Table.sql -o C:\HISMINSA\Resultados\dbo.TRAMA_BASE_ITS_VIH_RPT10_TRABAJADORES_SEXUALES_TRANS_ITS_TRATADOS_CONSOLIDADO.Table.txt &amp; @echo Script  ejecutado en la Base de datos UEIHNE01/SQLEXPRESS/BDHIS_MINSA</v>
      </c>
    </row>
    <row r="31" spans="1:9" ht="43.5" customHeight="1" thickBot="1" x14ac:dyDescent="0.25">
      <c r="A31" s="4" t="s">
        <v>78</v>
      </c>
      <c r="B31" s="4" t="str">
        <f>IF(MENU!$B$6="","INGRESE SERVIDOR",MENU!$B$6)</f>
        <v>UEIHNE01</v>
      </c>
      <c r="C31" s="13" t="str">
        <f>IF(MENU!$D$6="","",MENU!$D$6)</f>
        <v>SQLEXPRESS</v>
      </c>
      <c r="D31" s="5" t="str">
        <f>IF(MENU!$C$6="","INGRESE BASE",MENU!$C$6)</f>
        <v>BDHIS_MINSA</v>
      </c>
      <c r="E31" s="13" t="str">
        <f>IF(MENU!$C$9="","",MENU!$C$9)</f>
        <v/>
      </c>
      <c r="F31" s="13" t="str">
        <f>IF(MENU!$D$9="","",MENU!$D$9)</f>
        <v/>
      </c>
      <c r="G31" s="8" t="s">
        <v>158</v>
      </c>
      <c r="H31" s="5" t="str">
        <f t="shared" si="0"/>
        <v>@echo Script  ejecutado en la Base de datos UEIHNE01/SQLEXPRESS/BDHIS_MINSA</v>
      </c>
      <c r="I31" s="4" t="str">
        <f>IF(OR(E31="",F31=""),IF(C31="",IF(G31="","",(CONCATENATE("sqlcmd -E -S ",B31," -d ",D31," -i ",MENU!$E$6,A31,"\",G31,".sql -o ",MENU!$B$9,G31, ".txt &amp; ",H31))),IF(G31="","",(CONCATENATE("sqlcmd -E -S ",B31,"\",C31," -d ",D31," -i ",MENU!$E$6,A31,"\",G31,".sql -o ",MENU!$B$9,G31, ".txt &amp; ",H31)))),IF(C31="",IF(G31="","",(CONCATENATE("sqlcmd -S ",B31," -d ",D31," -U ",E31," -P ",F31," -i ",MENU!$E$6,A31,"\",G31,".sql -o ",MENU!$B$9,G31, ".txt &amp; ",H31))),IF(G31="","",(CONCATENATE("sqlcmd -S ",B31,"\",C31," -d ",D31," -U ",E31," -P ",F31," -i ",MENU!$E$6,A31,"\",G31,".sql -o ",MENU!$B$9,G31, ".txt &amp; ",H31)))))</f>
        <v>sqlcmd -E -S UEIHNE01\SQLEXPRESS -d BDHIS_MINSA -i C:\HISMINSA\Scripts\ITSVIH\dbo.TRAMA_BASE_ITS_VIH_RPT10_TRABAJADORES_SEXUALES_TRANS_ITS_TRATADOS_NOMINAL.Table.sql -o C:\HISMINSA\Resultados\dbo.TRAMA_BASE_ITS_VIH_RPT10_TRABAJADORES_SEXUALES_TRANS_ITS_TRATADOS_NOMINAL.Table.txt &amp; @echo Script  ejecutado en la Base de datos UEIHNE01/SQLEXPRESS/BDHIS_MINSA</v>
      </c>
    </row>
    <row r="32" spans="1:9" ht="43.5" customHeight="1" thickBot="1" x14ac:dyDescent="0.25">
      <c r="A32" s="4" t="s">
        <v>78</v>
      </c>
      <c r="B32" s="4" t="str">
        <f>IF(MENU!$B$6="","INGRESE SERVIDOR",MENU!$B$6)</f>
        <v>UEIHNE01</v>
      </c>
      <c r="C32" s="13" t="str">
        <f>IF(MENU!$D$6="","",MENU!$D$6)</f>
        <v>SQLEXPRESS</v>
      </c>
      <c r="D32" s="5" t="str">
        <f>IF(MENU!$C$6="","INGRESE BASE",MENU!$C$6)</f>
        <v>BDHIS_MINSA</v>
      </c>
      <c r="E32" s="13" t="str">
        <f>IF(MENU!$C$9="","",MENU!$C$9)</f>
        <v/>
      </c>
      <c r="F32" s="13" t="str">
        <f>IF(MENU!$D$9="","",MENU!$D$9)</f>
        <v/>
      </c>
      <c r="G32" s="8" t="s">
        <v>159</v>
      </c>
      <c r="H32" s="5" t="str">
        <f t="shared" si="0"/>
        <v>@echo Script  ejecutado en la Base de datos UEIHNE01/SQLEXPRESS/BDHIS_MINSA</v>
      </c>
      <c r="I32" s="4" t="str">
        <f>IF(OR(E32="",F32=""),IF(C32="",IF(G32="","",(CONCATENATE("sqlcmd -E -S ",B32," -d ",D32," -i ",MENU!$E$6,A32,"\",G32,".sql -o ",MENU!$B$9,G32, ".txt &amp; ",H32))),IF(G32="","",(CONCATENATE("sqlcmd -E -S ",B32,"\",C32," -d ",D32," -i ",MENU!$E$6,A32,"\",G32,".sql -o ",MENU!$B$9,G32, ".txt &amp; ",H32)))),IF(C32="",IF(G32="","",(CONCATENATE("sqlcmd -S ",B32," -d ",D32," -U ",E32," -P ",F32," -i ",MENU!$E$6,A32,"\",G32,".sql -o ",MENU!$B$9,G32, ".txt &amp; ",H32))),IF(G32="","",(CONCATENATE("sqlcmd -S ",B32,"\",C32," -d ",D32," -U ",E32," -P ",F32," -i ",MENU!$E$6,A32,"\",G32,".sql -o ",MENU!$B$9,G32, ".txt &amp; ",H32)))))</f>
        <v>sqlcmd -E -S UEIHNE01\SQLEXPRESS -d BDHIS_MINSA -i C:\HISMINSA\Scripts\ITSVIH\dbo.TRAMA_BASE_ITS_VIH_RPT11_HEPATITIS_C_CONSOLIDADO.Table.sql -o C:\HISMINSA\Resultados\dbo.TRAMA_BASE_ITS_VIH_RPT11_HEPATITIS_C_CONSOLIDADO.Table.txt &amp; @echo Script  ejecutado en la Base de datos UEIHNE01/SQLEXPRESS/BDHIS_MINSA</v>
      </c>
    </row>
    <row r="33" spans="1:9" ht="43.5" customHeight="1" thickBot="1" x14ac:dyDescent="0.25">
      <c r="A33" s="4" t="s">
        <v>78</v>
      </c>
      <c r="B33" s="4" t="str">
        <f>IF(MENU!$B$6="","INGRESE SERVIDOR",MENU!$B$6)</f>
        <v>UEIHNE01</v>
      </c>
      <c r="C33" s="13" t="str">
        <f>IF(MENU!$D$6="","",MENU!$D$6)</f>
        <v>SQLEXPRESS</v>
      </c>
      <c r="D33" s="5" t="str">
        <f>IF(MENU!$C$6="","INGRESE BASE",MENU!$C$6)</f>
        <v>BDHIS_MINSA</v>
      </c>
      <c r="E33" s="13" t="str">
        <f>IF(MENU!$C$9="","",MENU!$C$9)</f>
        <v/>
      </c>
      <c r="F33" s="13" t="str">
        <f>IF(MENU!$D$9="","",MENU!$D$9)</f>
        <v/>
      </c>
      <c r="G33" s="8" t="s">
        <v>160</v>
      </c>
      <c r="H33" s="5" t="str">
        <f t="shared" si="0"/>
        <v>@echo Script  ejecutado en la Base de datos UEIHNE01/SQLEXPRESS/BDHIS_MINSA</v>
      </c>
      <c r="I33" s="4" t="str">
        <f>IF(OR(E33="",F33=""),IF(C33="",IF(G33="","",(CONCATENATE("sqlcmd -E -S ",B33," -d ",D33," -i ",MENU!$E$6,A33,"\",G33,".sql -o ",MENU!$B$9,G33, ".txt &amp; ",H33))),IF(G33="","",(CONCATENATE("sqlcmd -E -S ",B33,"\",C33," -d ",D33," -i ",MENU!$E$6,A33,"\",G33,".sql -o ",MENU!$B$9,G33, ".txt &amp; ",H33)))),IF(C33="",IF(G33="","",(CONCATENATE("sqlcmd -S ",B33," -d ",D33," -U ",E33," -P ",F33," -i ",MENU!$E$6,A33,"\",G33,".sql -o ",MENU!$B$9,G33, ".txt &amp; ",H33))),IF(G33="","",(CONCATENATE("sqlcmd -S ",B33,"\",C33," -d ",D33," -U ",E33," -P ",F33," -i ",MENU!$E$6,A33,"\",G33,".sql -o ",MENU!$B$9,G33, ".txt &amp; ",H33)))))</f>
        <v>sqlcmd -E -S UEIHNE01\SQLEXPRESS -d BDHIS_MINSA -i C:\HISMINSA\Scripts\ITSVIH\dbo.TRAMA_BASE_ITS_VIH_RPT11_HEPATITIS_C_NOMINAL.Table.sql -o C:\HISMINSA\Resultados\dbo.TRAMA_BASE_ITS_VIH_RPT11_HEPATITIS_C_NOMINAL.Table.txt &amp; @echo Script  ejecutado en la Base de datos UEIHNE01/SQLEXPRESS/BDHIS_MINSA</v>
      </c>
    </row>
    <row r="34" spans="1:9" ht="43.5" customHeight="1" thickBot="1" x14ac:dyDescent="0.25">
      <c r="A34" s="4" t="s">
        <v>78</v>
      </c>
      <c r="B34" s="4" t="str">
        <f>IF(MENU!$B$6="","INGRESE SERVIDOR",MENU!$B$6)</f>
        <v>UEIHNE01</v>
      </c>
      <c r="C34" s="13" t="str">
        <f>IF(MENU!$D$6="","",MENU!$D$6)</f>
        <v>SQLEXPRESS</v>
      </c>
      <c r="D34" s="5" t="str">
        <f>IF(MENU!$C$6="","INGRESE BASE",MENU!$C$6)</f>
        <v>BDHIS_MINSA</v>
      </c>
      <c r="E34" s="13" t="str">
        <f>IF(MENU!$C$9="","",MENU!$C$9)</f>
        <v/>
      </c>
      <c r="F34" s="13" t="str">
        <f>IF(MENU!$D$9="","",MENU!$D$9)</f>
        <v/>
      </c>
      <c r="G34" s="8" t="s">
        <v>161</v>
      </c>
      <c r="H34" s="5" t="str">
        <f t="shared" si="0"/>
        <v>@echo Script  ejecutado en la Base de datos UEIHNE01/SQLEXPRESS/BDHIS_MINSA</v>
      </c>
      <c r="I34" s="4" t="str">
        <f>IF(OR(E34="",F34=""),IF(C34="",IF(G34="","",(CONCATENATE("sqlcmd -E -S ",B34," -d ",D34," -i ",MENU!$E$6,A34,"\",G34,".sql -o ",MENU!$B$9,G34, ".txt &amp; ",H34))),IF(G34="","",(CONCATENATE("sqlcmd -E -S ",B34,"\",C34," -d ",D34," -i ",MENU!$E$6,A34,"\",G34,".sql -o ",MENU!$B$9,G34, ".txt &amp; ",H34)))),IF(C34="",IF(G34="","",(CONCATENATE("sqlcmd -S ",B34," -d ",D34," -U ",E34," -P ",F34," -i ",MENU!$E$6,A34,"\",G34,".sql -o ",MENU!$B$9,G34, ".txt &amp; ",H34))),IF(G34="","",(CONCATENATE("sqlcmd -S ",B34,"\",C34," -d ",D34," -U ",E34," -P ",F34," -i ",MENU!$E$6,A34,"\",G34,".sql -o ",MENU!$B$9,G34, ".txt &amp; ",H34)))))</f>
        <v>sqlcmd -E -S UEIHNE01\SQLEXPRESS -d BDHIS_MINSA -i C:\HISMINSA\Scripts\ITSVIH\dbo.TRAMA_BASE_ITS_VIH_RPT12_POBLACION_GENERAL_TAMIZAJE_SIFILIS_CONSOLIDADO.Table.sql -o C:\HISMINSA\Resultados\dbo.TRAMA_BASE_ITS_VIH_RPT12_POBLACION_GENERAL_TAMIZAJE_SIFILIS_CONSOLIDADO.Table.txt &amp; @echo Script  ejecutado en la Base de datos UEIHNE01/SQLEXPRESS/BDHIS_MINSA</v>
      </c>
    </row>
    <row r="35" spans="1:9" ht="43.5" customHeight="1" thickBot="1" x14ac:dyDescent="0.25">
      <c r="A35" s="4" t="s">
        <v>78</v>
      </c>
      <c r="B35" s="4" t="str">
        <f>IF(MENU!$B$6="","INGRESE SERVIDOR",MENU!$B$6)</f>
        <v>UEIHNE01</v>
      </c>
      <c r="C35" s="13" t="str">
        <f>IF(MENU!$D$6="","",MENU!$D$6)</f>
        <v>SQLEXPRESS</v>
      </c>
      <c r="D35" s="5" t="str">
        <f>IF(MENU!$C$6="","INGRESE BASE",MENU!$C$6)</f>
        <v>BDHIS_MINSA</v>
      </c>
      <c r="E35" s="13" t="str">
        <f>IF(MENU!$C$9="","",MENU!$C$9)</f>
        <v/>
      </c>
      <c r="F35" s="13" t="str">
        <f>IF(MENU!$D$9="","",MENU!$D$9)</f>
        <v/>
      </c>
      <c r="G35" s="8" t="s">
        <v>162</v>
      </c>
      <c r="H35" s="5" t="str">
        <f t="shared" si="0"/>
        <v>@echo Script  ejecutado en la Base de datos UEIHNE01/SQLEXPRESS/BDHIS_MINSA</v>
      </c>
      <c r="I35" s="4" t="str">
        <f>IF(OR(E35="",F35=""),IF(C35="",IF(G35="","",(CONCATENATE("sqlcmd -E -S ",B35," -d ",D35," -i ",MENU!$E$6,A35,"\",G35,".sql -o ",MENU!$B$9,G35, ".txt &amp; ",H35))),IF(G35="","",(CONCATENATE("sqlcmd -E -S ",B35,"\",C35," -d ",D35," -i ",MENU!$E$6,A35,"\",G35,".sql -o ",MENU!$B$9,G35, ".txt &amp; ",H35)))),IF(C35="",IF(G35="","",(CONCATENATE("sqlcmd -S ",B35," -d ",D35," -U ",E35," -P ",F35," -i ",MENU!$E$6,A35,"\",G35,".sql -o ",MENU!$B$9,G35, ".txt &amp; ",H35))),IF(G35="","",(CONCATENATE("sqlcmd -S ",B35,"\",C35," -d ",D35," -U ",E35," -P ",F35," -i ",MENU!$E$6,A35,"\",G35,".sql -o ",MENU!$B$9,G35, ".txt &amp; ",H35)))))</f>
        <v>sqlcmd -E -S UEIHNE01\SQLEXPRESS -d BDHIS_MINSA -i C:\HISMINSA\Scripts\ITSVIH\dbo.TRAMA_BASE_ITS_VIH_RPT12_POBLACION_GENERAL_TAMIZAJE_SIFILIS_NOMINAL.Table.sql -o C:\HISMINSA\Resultados\dbo.TRAMA_BASE_ITS_VIH_RPT12_POBLACION_GENERAL_TAMIZAJE_SIFILIS_NOMINAL.Table.txt &amp; @echo Script  ejecutado en la Base de datos UEIHNE01/SQLEXPRESS/BDHIS_MINSA</v>
      </c>
    </row>
    <row r="36" spans="1:9" ht="43.5" customHeight="1" thickBot="1" x14ac:dyDescent="0.25">
      <c r="A36" s="4" t="s">
        <v>78</v>
      </c>
      <c r="B36" s="4" t="str">
        <f>IF(MENU!$B$6="","INGRESE SERVIDOR",MENU!$B$6)</f>
        <v>UEIHNE01</v>
      </c>
      <c r="C36" s="13" t="str">
        <f>IF(MENU!$D$6="","",MENU!$D$6)</f>
        <v>SQLEXPRESS</v>
      </c>
      <c r="D36" s="5" t="str">
        <f>IF(MENU!$C$6="","INGRESE BASE",MENU!$C$6)</f>
        <v>BDHIS_MINSA</v>
      </c>
      <c r="E36" s="13" t="str">
        <f>IF(MENU!$C$9="","",MENU!$C$9)</f>
        <v/>
      </c>
      <c r="F36" s="13" t="str">
        <f>IF(MENU!$D$9="","",MENU!$D$9)</f>
        <v/>
      </c>
      <c r="G36" s="8" t="s">
        <v>163</v>
      </c>
      <c r="H36" s="5" t="str">
        <f t="shared" si="0"/>
        <v>@echo Script  ejecutado en la Base de datos UEIHNE01/SQLEXPRESS/BDHIS_MINSA</v>
      </c>
      <c r="I36" s="4" t="str">
        <f>IF(OR(E36="",F36=""),IF(C36="",IF(G36="","",(CONCATENATE("sqlcmd -E -S ",B36," -d ",D36," -i ",MENU!$E$6,A36,"\",G36,".sql -o ",MENU!$B$9,G36, ".txt &amp; ",H36))),IF(G36="","",(CONCATENATE("sqlcmd -E -S ",B36,"\",C36," -d ",D36," -i ",MENU!$E$6,A36,"\",G36,".sql -o ",MENU!$B$9,G36, ".txt &amp; ",H36)))),IF(C36="",IF(G36="","",(CONCATENATE("sqlcmd -S ",B36," -d ",D36," -U ",E36," -P ",F36," -i ",MENU!$E$6,A36,"\",G36,".sql -o ",MENU!$B$9,G36, ".txt &amp; ",H36))),IF(G36="","",(CONCATENATE("sqlcmd -S ",B36,"\",C36," -d ",D36," -U ",E36," -P ",F36," -i ",MENU!$E$6,A36,"\",G36,".sql -o ",MENU!$B$9,G36, ".txt &amp; ",H36)))))</f>
        <v>sqlcmd -E -S UEIHNE01\SQLEXPRESS -d BDHIS_MINSA -i C:\HISMINSA\Scripts\ITSVIH\dbo.TRAMA_BASE_ITS_VIH_RPT13_POBLACION_CLAVE_TAMIZAJE_SIFILIS_CONSOLIDADO.Table.sql -o C:\HISMINSA\Resultados\dbo.TRAMA_BASE_ITS_VIH_RPT13_POBLACION_CLAVE_TAMIZAJE_SIFILIS_CONSOLIDADO.Table.txt &amp; @echo Script  ejecutado en la Base de datos UEIHNE01/SQLEXPRESS/BDHIS_MINSA</v>
      </c>
    </row>
    <row r="37" spans="1:9" ht="43.5" customHeight="1" thickBot="1" x14ac:dyDescent="0.25">
      <c r="A37" s="4" t="s">
        <v>78</v>
      </c>
      <c r="B37" s="4" t="str">
        <f>IF(MENU!$B$6="","INGRESE SERVIDOR",MENU!$B$6)</f>
        <v>UEIHNE01</v>
      </c>
      <c r="C37" s="13" t="str">
        <f>IF(MENU!$D$6="","",MENU!$D$6)</f>
        <v>SQLEXPRESS</v>
      </c>
      <c r="D37" s="5" t="str">
        <f>IF(MENU!$C$6="","INGRESE BASE",MENU!$C$6)</f>
        <v>BDHIS_MINSA</v>
      </c>
      <c r="E37" s="13" t="str">
        <f>IF(MENU!$C$9="","",MENU!$C$9)</f>
        <v/>
      </c>
      <c r="F37" s="13" t="str">
        <f>IF(MENU!$D$9="","",MENU!$D$9)</f>
        <v/>
      </c>
      <c r="G37" s="8" t="s">
        <v>164</v>
      </c>
      <c r="H37" s="5" t="str">
        <f t="shared" si="0"/>
        <v>@echo Script  ejecutado en la Base de datos UEIHNE01/SQLEXPRESS/BDHIS_MINSA</v>
      </c>
      <c r="I37" s="4" t="str">
        <f>IF(OR(E37="",F37=""),IF(C37="",IF(G37="","",(CONCATENATE("sqlcmd -E -S ",B37," -d ",D37," -i ",MENU!$E$6,A37,"\",G37,".sql -o ",MENU!$B$9,G37, ".txt &amp; ",H37))),IF(G37="","",(CONCATENATE("sqlcmd -E -S ",B37,"\",C37," -d ",D37," -i ",MENU!$E$6,A37,"\",G37,".sql -o ",MENU!$B$9,G37, ".txt &amp; ",H37)))),IF(C37="",IF(G37="","",(CONCATENATE("sqlcmd -S ",B37," -d ",D37," -U ",E37," -P ",F37," -i ",MENU!$E$6,A37,"\",G37,".sql -o ",MENU!$B$9,G37, ".txt &amp; ",H37))),IF(G37="","",(CONCATENATE("sqlcmd -S ",B37,"\",C37," -d ",D37," -U ",E37," -P ",F37," -i ",MENU!$E$6,A37,"\",G37,".sql -o ",MENU!$B$9,G37, ".txt &amp; ",H37)))))</f>
        <v>sqlcmd -E -S UEIHNE01\SQLEXPRESS -d BDHIS_MINSA -i C:\HISMINSA\Scripts\ITSVIH\dbo.TRAMA_BASE_ITS_VIH_RPT13_POBLACION_CLAVE_TAMIZAJE_SIFILIS_NOMINAL.Table.sql -o C:\HISMINSA\Resultados\dbo.TRAMA_BASE_ITS_VIH_RPT13_POBLACION_CLAVE_TAMIZAJE_SIFILIS_NOMINAL.Table.txt &amp; @echo Script  ejecutado en la Base de datos UEIHNE01/SQLEXPRESS/BDHIS_MINSA</v>
      </c>
    </row>
    <row r="38" spans="1:9" ht="43.5" customHeight="1" thickBot="1" x14ac:dyDescent="0.25">
      <c r="A38" s="4" t="s">
        <v>78</v>
      </c>
      <c r="B38" s="4" t="str">
        <f>IF(MENU!$B$6="","INGRESE SERVIDOR",MENU!$B$6)</f>
        <v>UEIHNE01</v>
      </c>
      <c r="C38" s="13" t="str">
        <f>IF(MENU!$D$6="","",MENU!$D$6)</f>
        <v>SQLEXPRESS</v>
      </c>
      <c r="D38" s="5" t="str">
        <f>IF(MENU!$C$6="","INGRESE BASE",MENU!$C$6)</f>
        <v>BDHIS_MINSA</v>
      </c>
      <c r="E38" s="13" t="str">
        <f>IF(MENU!$C$9="","",MENU!$C$9)</f>
        <v/>
      </c>
      <c r="F38" s="13" t="str">
        <f>IF(MENU!$D$9="","",MENU!$D$9)</f>
        <v/>
      </c>
      <c r="G38" s="8" t="s">
        <v>165</v>
      </c>
      <c r="H38" s="5" t="str">
        <f t="shared" si="0"/>
        <v>@echo Script  ejecutado en la Base de datos UEIHNE01/SQLEXPRESS/BDHIS_MINSA</v>
      </c>
      <c r="I38" s="4" t="str">
        <f>IF(OR(E38="",F38=""),IF(C38="",IF(G38="","",(CONCATENATE("sqlcmd -E -S ",B38," -d ",D38," -i ",MENU!$E$6,A38,"\",G38,".sql -o ",MENU!$B$9,G38, ".txt &amp; ",H38))),IF(G38="","",(CONCATENATE("sqlcmd -E -S ",B38,"\",C38," -d ",D38," -i ",MENU!$E$6,A38,"\",G38,".sql -o ",MENU!$B$9,G38, ".txt &amp; ",H38)))),IF(C38="",IF(G38="","",(CONCATENATE("sqlcmd -S ",B38," -d ",D38," -U ",E38," -P ",F38," -i ",MENU!$E$6,A38,"\",G38,".sql -o ",MENU!$B$9,G38, ".txt &amp; ",H38))),IF(G38="","",(CONCATENATE("sqlcmd -S ",B38,"\",C38," -d ",D38," -U ",E38," -P ",F38," -i ",MENU!$E$6,A38,"\",G38,".sql -o ",MENU!$B$9,G38, ".txt &amp; ",H38)))))</f>
        <v>sqlcmd -E -S UEIHNE01\SQLEXPRESS -d BDHIS_MINSA -i C:\HISMINSA\Scripts\ITSVIH\dbo.TRAMA_BASE_ITS_VIH_RPT13_POBLACION_CLAVE_TS_SIFILIS_CONSOLIDADO.Table.sql -o C:\HISMINSA\Resultados\dbo.TRAMA_BASE_ITS_VIH_RPT13_POBLACION_CLAVE_TS_SIFILIS_CONSOLIDADO.Table.txt &amp; @echo Script  ejecutado en la Base de datos UEIHNE01/SQLEXPRESS/BDHIS_MINSA</v>
      </c>
    </row>
    <row r="39" spans="1:9" ht="43.5" customHeight="1" thickBot="1" x14ac:dyDescent="0.25">
      <c r="A39" s="4" t="s">
        <v>78</v>
      </c>
      <c r="B39" s="4" t="str">
        <f>IF(MENU!$B$6="","INGRESE SERVIDOR",MENU!$B$6)</f>
        <v>UEIHNE01</v>
      </c>
      <c r="C39" s="13" t="str">
        <f>IF(MENU!$D$6="","",MENU!$D$6)</f>
        <v>SQLEXPRESS</v>
      </c>
      <c r="D39" s="5" t="str">
        <f>IF(MENU!$C$6="","INGRESE BASE",MENU!$C$6)</f>
        <v>BDHIS_MINSA</v>
      </c>
      <c r="E39" s="13" t="str">
        <f>IF(MENU!$C$9="","",MENU!$C$9)</f>
        <v/>
      </c>
      <c r="F39" s="13" t="str">
        <f>IF(MENU!$D$9="","",MENU!$D$9)</f>
        <v/>
      </c>
      <c r="G39" s="8" t="s">
        <v>166</v>
      </c>
      <c r="H39" s="5" t="str">
        <f t="shared" si="0"/>
        <v>@echo Script  ejecutado en la Base de datos UEIHNE01/SQLEXPRESS/BDHIS_MINSA</v>
      </c>
      <c r="I39" s="4" t="str">
        <f>IF(OR(E39="",F39=""),IF(C39="",IF(G39="","",(CONCATENATE("sqlcmd -E -S ",B39," -d ",D39," -i ",MENU!$E$6,A39,"\",G39,".sql -o ",MENU!$B$9,G39, ".txt &amp; ",H39))),IF(G39="","",(CONCATENATE("sqlcmd -E -S ",B39,"\",C39," -d ",D39," -i ",MENU!$E$6,A39,"\",G39,".sql -o ",MENU!$B$9,G39, ".txt &amp; ",H39)))),IF(C39="",IF(G39="","",(CONCATENATE("sqlcmd -S ",B39," -d ",D39," -U ",E39," -P ",F39," -i ",MENU!$E$6,A39,"\",G39,".sql -o ",MENU!$B$9,G39, ".txt &amp; ",H39))),IF(G39="","",(CONCATENATE("sqlcmd -S ",B39,"\",C39," -d ",D39," -U ",E39," -P ",F39," -i ",MENU!$E$6,A39,"\",G39,".sql -o ",MENU!$B$9,G39, ".txt &amp; ",H39)))))</f>
        <v>sqlcmd -E -S UEIHNE01\SQLEXPRESS -d BDHIS_MINSA -i C:\HISMINSA\Scripts\ITSVIH\dbo.TRAMA_BASE_ITS_VIH_RPT13_POBLACION_CLAVE_TS_SIFILIS_NOMINAL.Table.sql -o C:\HISMINSA\Resultados\dbo.TRAMA_BASE_ITS_VIH_RPT13_POBLACION_CLAVE_TS_SIFILIS_NOMINAL.Table.txt &amp; @echo Script  ejecutado en la Base de datos UEIHNE01/SQLEXPRESS/BDHIS_MINSA</v>
      </c>
    </row>
    <row r="40" spans="1:9" ht="43.5" customHeight="1" thickBot="1" x14ac:dyDescent="0.25">
      <c r="A40" s="4" t="s">
        <v>78</v>
      </c>
      <c r="B40" s="4" t="str">
        <f>IF(MENU!$B$6="","INGRESE SERVIDOR",MENU!$B$6)</f>
        <v>UEIHNE01</v>
      </c>
      <c r="C40" s="13" t="str">
        <f>IF(MENU!$D$6="","",MENU!$D$6)</f>
        <v>SQLEXPRESS</v>
      </c>
      <c r="D40" s="5" t="str">
        <f>IF(MENU!$C$6="","INGRESE BASE",MENU!$C$6)</f>
        <v>BDHIS_MINSA</v>
      </c>
      <c r="E40" s="13" t="str">
        <f>IF(MENU!$C$9="","",MENU!$C$9)</f>
        <v/>
      </c>
      <c r="F40" s="13" t="str">
        <f>IF(MENU!$D$9="","",MENU!$D$9)</f>
        <v/>
      </c>
      <c r="G40" s="8" t="s">
        <v>167</v>
      </c>
      <c r="H40" s="5" t="str">
        <f t="shared" si="0"/>
        <v>@echo Script  ejecutado en la Base de datos UEIHNE01/SQLEXPRESS/BDHIS_MINSA</v>
      </c>
      <c r="I40" s="4" t="str">
        <f>IF(OR(E40="",F40=""),IF(C40="",IF(G40="","",(CONCATENATE("sqlcmd -E -S ",B40," -d ",D40," -i ",MENU!$E$6,A40,"\",G40,".sql -o ",MENU!$B$9,G40, ".txt &amp; ",H40))),IF(G40="","",(CONCATENATE("sqlcmd -E -S ",B40,"\",C40," -d ",D40," -i ",MENU!$E$6,A40,"\",G40,".sql -o ",MENU!$B$9,G40, ".txt &amp; ",H40)))),IF(C40="",IF(G40="","",(CONCATENATE("sqlcmd -S ",B40," -d ",D40," -U ",E40," -P ",F40," -i ",MENU!$E$6,A40,"\",G40,".sql -o ",MENU!$B$9,G40, ".txt &amp; ",H40))),IF(G40="","",(CONCATENATE("sqlcmd -S ",B40,"\",C40," -d ",D40," -U ",E40," -P ",F40," -i ",MENU!$E$6,A40,"\",G40,".sql -o ",MENU!$B$9,G40, ".txt &amp; ",H40)))))</f>
        <v>sqlcmd -E -S UEIHNE01\SQLEXPRESS -d BDHIS_MINSA -i C:\HISMINSA\Scripts\ITSVIH\dbo.TRAMA_BASE_ITS_VIH_RPT14_POBLACION_CLAVE_TAMIZAJE_VIH_CONSOLIDADO.Table.sql -o C:\HISMINSA\Resultados\dbo.TRAMA_BASE_ITS_VIH_RPT14_POBLACION_CLAVE_TAMIZAJE_VIH_CONSOLIDADO.Table.txt &amp; @echo Script  ejecutado en la Base de datos UEIHNE01/SQLEXPRESS/BDHIS_MINSA</v>
      </c>
    </row>
    <row r="41" spans="1:9" ht="43.5" customHeight="1" thickBot="1" x14ac:dyDescent="0.25">
      <c r="A41" s="4" t="s">
        <v>78</v>
      </c>
      <c r="B41" s="4" t="str">
        <f>IF(MENU!$B$6="","INGRESE SERVIDOR",MENU!$B$6)</f>
        <v>UEIHNE01</v>
      </c>
      <c r="C41" s="13" t="str">
        <f>IF(MENU!$D$6="","",MENU!$D$6)</f>
        <v>SQLEXPRESS</v>
      </c>
      <c r="D41" s="5" t="str">
        <f>IF(MENU!$C$6="","INGRESE BASE",MENU!$C$6)</f>
        <v>BDHIS_MINSA</v>
      </c>
      <c r="E41" s="13" t="str">
        <f>IF(MENU!$C$9="","",MENU!$C$9)</f>
        <v/>
      </c>
      <c r="F41" s="13" t="str">
        <f>IF(MENU!$D$9="","",MENU!$D$9)</f>
        <v/>
      </c>
      <c r="G41" s="8" t="s">
        <v>168</v>
      </c>
      <c r="H41" s="5" t="str">
        <f t="shared" si="0"/>
        <v>@echo Script  ejecutado en la Base de datos UEIHNE01/SQLEXPRESS/BDHIS_MINSA</v>
      </c>
      <c r="I41" s="4" t="str">
        <f>IF(OR(E41="",F41=""),IF(C41="",IF(G41="","",(CONCATENATE("sqlcmd -E -S ",B41," -d ",D41," -i ",MENU!$E$6,A41,"\",G41,".sql -o ",MENU!$B$9,G41, ".txt &amp; ",H41))),IF(G41="","",(CONCATENATE("sqlcmd -E -S ",B41,"\",C41," -d ",D41," -i ",MENU!$E$6,A41,"\",G41,".sql -o ",MENU!$B$9,G41, ".txt &amp; ",H41)))),IF(C41="",IF(G41="","",(CONCATENATE("sqlcmd -S ",B41," -d ",D41," -U ",E41," -P ",F41," -i ",MENU!$E$6,A41,"\",G41,".sql -o ",MENU!$B$9,G41, ".txt &amp; ",H41))),IF(G41="","",(CONCATENATE("sqlcmd -S ",B41,"\",C41," -d ",D41," -U ",E41," -P ",F41," -i ",MENU!$E$6,A41,"\",G41,".sql -o ",MENU!$B$9,G41, ".txt &amp; ",H41)))))</f>
        <v>sqlcmd -E -S UEIHNE01\SQLEXPRESS -d BDHIS_MINSA -i C:\HISMINSA\Scripts\ITSVIH\dbo.TRAMA_BASE_ITS_VIH_RPT14_POBLACION_CLAVE_TAMIZAJE_VIH_NOMINAL.Table.sql -o C:\HISMINSA\Resultados\dbo.TRAMA_BASE_ITS_VIH_RPT14_POBLACION_CLAVE_TAMIZAJE_VIH_NOMINAL.Table.txt &amp; @echo Script  ejecutado en la Base de datos UEIHNE01/SQLEXPRESS/BDHIS_MINSA</v>
      </c>
    </row>
    <row r="42" spans="1:9" ht="43.5" customHeight="1" thickBot="1" x14ac:dyDescent="0.25">
      <c r="A42" s="4" t="s">
        <v>78</v>
      </c>
      <c r="B42" s="4" t="str">
        <f>IF(MENU!$B$6="","INGRESE SERVIDOR",MENU!$B$6)</f>
        <v>UEIHNE01</v>
      </c>
      <c r="C42" s="13" t="str">
        <f>IF(MENU!$D$6="","",MENU!$D$6)</f>
        <v>SQLEXPRESS</v>
      </c>
      <c r="D42" s="5" t="str">
        <f>IF(MENU!$C$6="","INGRESE BASE",MENU!$C$6)</f>
        <v>BDHIS_MINSA</v>
      </c>
      <c r="E42" s="13" t="str">
        <f>IF(MENU!$C$9="","",MENU!$C$9)</f>
        <v/>
      </c>
      <c r="F42" s="13" t="str">
        <f>IF(MENU!$D$9="","",MENU!$D$9)</f>
        <v/>
      </c>
      <c r="G42" s="8" t="s">
        <v>169</v>
      </c>
      <c r="H42" s="5" t="str">
        <f t="shared" si="0"/>
        <v>@echo Script  ejecutado en la Base de datos UEIHNE01/SQLEXPRESS/BDHIS_MINSA</v>
      </c>
      <c r="I42" s="4" t="str">
        <f>IF(OR(E42="",F42=""),IF(C42="",IF(G42="","",(CONCATENATE("sqlcmd -E -S ",B42," -d ",D42," -i ",MENU!$E$6,A42,"\",G42,".sql -o ",MENU!$B$9,G42, ".txt &amp; ",H42))),IF(G42="","",(CONCATENATE("sqlcmd -E -S ",B42,"\",C42," -d ",D42," -i ",MENU!$E$6,A42,"\",G42,".sql -o ",MENU!$B$9,G42, ".txt &amp; ",H42)))),IF(C42="",IF(G42="","",(CONCATENATE("sqlcmd -S ",B42," -d ",D42," -U ",E42," -P ",F42," -i ",MENU!$E$6,A42,"\",G42,".sql -o ",MENU!$B$9,G42, ".txt &amp; ",H42))),IF(G42="","",(CONCATENATE("sqlcmd -S ",B42,"\",C42," -d ",D42," -U ",E42," -P ",F42," -i ",MENU!$E$6,A42,"\",G42,".sql -o ",MENU!$B$9,G42, ".txt &amp; ",H42)))))</f>
        <v>sqlcmd -E -S UEIHNE01\SQLEXPRESS -d BDHIS_MINSA -i C:\HISMINSA\Scripts\ITSVIH\dbo.TRAMA_BASE_ITS_VIH_RPT15_01_POBLACION_CLAVE_ITS_TS_TRATADOS_CONSOLIDADO.Table.sql -o C:\HISMINSA\Resultados\dbo.TRAMA_BASE_ITS_VIH_RPT15_01_POBLACION_CLAVE_ITS_TS_TRATADOS_CONSOLIDADO.Table.txt &amp; @echo Script  ejecutado en la Base de datos UEIHNE01/SQLEXPRESS/BDHIS_MINSA</v>
      </c>
    </row>
    <row r="43" spans="1:9" ht="43.5" customHeight="1" thickBot="1" x14ac:dyDescent="0.25">
      <c r="A43" s="4" t="s">
        <v>78</v>
      </c>
      <c r="B43" s="4" t="str">
        <f>IF(MENU!$B$6="","INGRESE SERVIDOR",MENU!$B$6)</f>
        <v>UEIHNE01</v>
      </c>
      <c r="C43" s="13" t="str">
        <f>IF(MENU!$D$6="","",MENU!$D$6)</f>
        <v>SQLEXPRESS</v>
      </c>
      <c r="D43" s="5" t="str">
        <f>IF(MENU!$C$6="","INGRESE BASE",MENU!$C$6)</f>
        <v>BDHIS_MINSA</v>
      </c>
      <c r="E43" s="13" t="str">
        <f>IF(MENU!$C$9="","",MENU!$C$9)</f>
        <v/>
      </c>
      <c r="F43" s="13" t="str">
        <f>IF(MENU!$D$9="","",MENU!$D$9)</f>
        <v/>
      </c>
      <c r="G43" s="8" t="s">
        <v>170</v>
      </c>
      <c r="H43" s="5" t="str">
        <f t="shared" si="0"/>
        <v>@echo Script  ejecutado en la Base de datos UEIHNE01/SQLEXPRESS/BDHIS_MINSA</v>
      </c>
      <c r="I43" s="4" t="str">
        <f>IF(OR(E43="",F43=""),IF(C43="",IF(G43="","",(CONCATENATE("sqlcmd -E -S ",B43," -d ",D43," -i ",MENU!$E$6,A43,"\",G43,".sql -o ",MENU!$B$9,G43, ".txt &amp; ",H43))),IF(G43="","",(CONCATENATE("sqlcmd -E -S ",B43,"\",C43," -d ",D43," -i ",MENU!$E$6,A43,"\",G43,".sql -o ",MENU!$B$9,G43, ".txt &amp; ",H43)))),IF(C43="",IF(G43="","",(CONCATENATE("sqlcmd -S ",B43," -d ",D43," -U ",E43," -P ",F43," -i ",MENU!$E$6,A43,"\",G43,".sql -o ",MENU!$B$9,G43, ".txt &amp; ",H43))),IF(G43="","",(CONCATENATE("sqlcmd -S ",B43,"\",C43," -d ",D43," -U ",E43," -P ",F43," -i ",MENU!$E$6,A43,"\",G43,".sql -o ",MENU!$B$9,G43, ".txt &amp; ",H43)))))</f>
        <v>sqlcmd -E -S UEIHNE01\SQLEXPRESS -d BDHIS_MINSA -i C:\HISMINSA\Scripts\ITSVIH\dbo.TRAMA_BASE_ITS_VIH_RPT15_01_POBLACION_CLAVE_ITS_TS_TRATADOS_NOMINAL.Table.sql -o C:\HISMINSA\Resultados\dbo.TRAMA_BASE_ITS_VIH_RPT15_01_POBLACION_CLAVE_ITS_TS_TRATADOS_NOMINAL.Table.txt &amp; @echo Script  ejecutado en la Base de datos UEIHNE01/SQLEXPRESS/BDHIS_MINSA</v>
      </c>
    </row>
    <row r="44" spans="1:9" ht="43.5" customHeight="1" thickBot="1" x14ac:dyDescent="0.25">
      <c r="A44" s="4" t="s">
        <v>78</v>
      </c>
      <c r="B44" s="4" t="str">
        <f>IF(MENU!$B$6="","INGRESE SERVIDOR",MENU!$B$6)</f>
        <v>UEIHNE01</v>
      </c>
      <c r="C44" s="13" t="str">
        <f>IF(MENU!$D$6="","",MENU!$D$6)</f>
        <v>SQLEXPRESS</v>
      </c>
      <c r="D44" s="5" t="str">
        <f>IF(MENU!$C$6="","INGRESE BASE",MENU!$C$6)</f>
        <v>BDHIS_MINSA</v>
      </c>
      <c r="E44" s="13" t="str">
        <f>IF(MENU!$C$9="","",MENU!$C$9)</f>
        <v/>
      </c>
      <c r="F44" s="13" t="str">
        <f>IF(MENU!$D$9="","",MENU!$D$9)</f>
        <v/>
      </c>
      <c r="G44" s="8" t="s">
        <v>171</v>
      </c>
      <c r="H44" s="5" t="str">
        <f t="shared" si="0"/>
        <v>@echo Script  ejecutado en la Base de datos UEIHNE01/SQLEXPRESS/BDHIS_MINSA</v>
      </c>
      <c r="I44" s="4" t="str">
        <f>IF(OR(E44="",F44=""),IF(C44="",IF(G44="","",(CONCATENATE("sqlcmd -E -S ",B44," -d ",D44," -i ",MENU!$E$6,A44,"\",G44,".sql -o ",MENU!$B$9,G44, ".txt &amp; ",H44))),IF(G44="","",(CONCATENATE("sqlcmd -E -S ",B44,"\",C44," -d ",D44," -i ",MENU!$E$6,A44,"\",G44,".sql -o ",MENU!$B$9,G44, ".txt &amp; ",H44)))),IF(C44="",IF(G44="","",(CONCATENATE("sqlcmd -S ",B44," -d ",D44," -U ",E44," -P ",F44," -i ",MENU!$E$6,A44,"\",G44,".sql -o ",MENU!$B$9,G44, ".txt &amp; ",H44))),IF(G44="","",(CONCATENATE("sqlcmd -S ",B44,"\",C44," -d ",D44," -U ",E44," -P ",F44," -i ",MENU!$E$6,A44,"\",G44,".sql -o ",MENU!$B$9,G44, ".txt &amp; ",H44)))))</f>
        <v>sqlcmd -E -S UEIHNE01\SQLEXPRESS -d BDHIS_MINSA -i C:\HISMINSA\Scripts\ITSVIH\dbo.TRAMA_BASE_ITS_VIH_RPT15_POBLACION_CLAVE_ITS_TS_CONSOLIDADO.Table.sql -o C:\HISMINSA\Resultados\dbo.TRAMA_BASE_ITS_VIH_RPT15_POBLACION_CLAVE_ITS_TS_CONSOLIDADO.Table.txt &amp; @echo Script  ejecutado en la Base de datos UEIHNE01/SQLEXPRESS/BDHIS_MINSA</v>
      </c>
    </row>
    <row r="45" spans="1:9" ht="43.5" customHeight="1" thickBot="1" x14ac:dyDescent="0.25">
      <c r="A45" s="4" t="s">
        <v>78</v>
      </c>
      <c r="B45" s="4" t="str">
        <f>IF(MENU!$B$6="","INGRESE SERVIDOR",MENU!$B$6)</f>
        <v>UEIHNE01</v>
      </c>
      <c r="C45" s="13" t="str">
        <f>IF(MENU!$D$6="","",MENU!$D$6)</f>
        <v>SQLEXPRESS</v>
      </c>
      <c r="D45" s="5" t="str">
        <f>IF(MENU!$C$6="","INGRESE BASE",MENU!$C$6)</f>
        <v>BDHIS_MINSA</v>
      </c>
      <c r="E45" s="13" t="str">
        <f>IF(MENU!$C$9="","",MENU!$C$9)</f>
        <v/>
      </c>
      <c r="F45" s="13" t="str">
        <f>IF(MENU!$D$9="","",MENU!$D$9)</f>
        <v/>
      </c>
      <c r="G45" s="8" t="s">
        <v>172</v>
      </c>
      <c r="H45" s="5" t="str">
        <f t="shared" si="0"/>
        <v>@echo Script  ejecutado en la Base de datos UEIHNE01/SQLEXPRESS/BDHIS_MINSA</v>
      </c>
      <c r="I45" s="4" t="str">
        <f>IF(OR(E45="",F45=""),IF(C45="",IF(G45="","",(CONCATENATE("sqlcmd -E -S ",B45," -d ",D45," -i ",MENU!$E$6,A45,"\",G45,".sql -o ",MENU!$B$9,G45, ".txt &amp; ",H45))),IF(G45="","",(CONCATENATE("sqlcmd -E -S ",B45,"\",C45," -d ",D45," -i ",MENU!$E$6,A45,"\",G45,".sql -o ",MENU!$B$9,G45, ".txt &amp; ",H45)))),IF(C45="",IF(G45="","",(CONCATENATE("sqlcmd -S ",B45," -d ",D45," -U ",E45," -P ",F45," -i ",MENU!$E$6,A45,"\",G45,".sql -o ",MENU!$B$9,G45, ".txt &amp; ",H45))),IF(G45="","",(CONCATENATE("sqlcmd -S ",B45,"\",C45," -d ",D45," -U ",E45," -P ",F45," -i ",MENU!$E$6,A45,"\",G45,".sql -o ",MENU!$B$9,G45, ".txt &amp; ",H45)))))</f>
        <v>sqlcmd -E -S UEIHNE01\SQLEXPRESS -d BDHIS_MINSA -i C:\HISMINSA\Scripts\ITSVIH\dbo.TRAMA_BASE_ITS_VIH_RPT15_POBLACION_CLAVE_ITS_TS_NOMINAL.Table.sql -o C:\HISMINSA\Resultados\dbo.TRAMA_BASE_ITS_VIH_RPT15_POBLACION_CLAVE_ITS_TS_NOMINAL.Table.txt &amp; @echo Script  ejecutado en la Base de datos UEIHNE01/SQLEXPRESS/BDHIS_MINSA</v>
      </c>
    </row>
    <row r="46" spans="1:9" ht="43.5" customHeight="1" thickBot="1" x14ac:dyDescent="0.25">
      <c r="A46" s="4" t="s">
        <v>78</v>
      </c>
      <c r="B46" s="4" t="str">
        <f>IF(MENU!$B$6="","INGRESE SERVIDOR",MENU!$B$6)</f>
        <v>UEIHNE01</v>
      </c>
      <c r="C46" s="13" t="str">
        <f>IF(MENU!$D$6="","",MENU!$D$6)</f>
        <v>SQLEXPRESS</v>
      </c>
      <c r="D46" s="5" t="str">
        <f>IF(MENU!$C$6="","INGRESE BASE",MENU!$C$6)</f>
        <v>BDHIS_MINSA</v>
      </c>
      <c r="E46" s="13" t="str">
        <f>IF(MENU!$C$9="","",MENU!$C$9)</f>
        <v/>
      </c>
      <c r="F46" s="13" t="str">
        <f>IF(MENU!$D$9="","",MENU!$D$9)</f>
        <v/>
      </c>
      <c r="G46" s="8" t="s">
        <v>173</v>
      </c>
      <c r="H46" s="5" t="str">
        <f t="shared" si="0"/>
        <v>@echo Script  ejecutado en la Base de datos UEIHNE01/SQLEXPRESS/BDHIS_MINSA</v>
      </c>
      <c r="I46" s="4" t="str">
        <f>IF(OR(E46="",F46=""),IF(C46="",IF(G46="","",(CONCATENATE("sqlcmd -E -S ",B46," -d ",D46," -i ",MENU!$E$6,A46,"\",G46,".sql -o ",MENU!$B$9,G46, ".txt &amp; ",H46))),IF(G46="","",(CONCATENATE("sqlcmd -E -S ",B46,"\",C46," -d ",D46," -i ",MENU!$E$6,A46,"\",G46,".sql -o ",MENU!$B$9,G46, ".txt &amp; ",H46)))),IF(C46="",IF(G46="","",(CONCATENATE("sqlcmd -S ",B46," -d ",D46," -U ",E46," -P ",F46," -i ",MENU!$E$6,A46,"\",G46,".sql -o ",MENU!$B$9,G46, ".txt &amp; ",H46))),IF(G46="","",(CONCATENATE("sqlcmd -S ",B46,"\",C46," -d ",D46," -U ",E46," -P ",F46," -i ",MENU!$E$6,A46,"\",G46,".sql -o ",MENU!$B$9,G46, ".txt &amp; ",H46)))))</f>
        <v>sqlcmd -E -S UEIHNE01\SQLEXPRESS -d BDHIS_MINSA -i C:\HISMINSA\Scripts\ITSVIH\dbo.TRAMA_BASE_ITS_VIH_RPT16_01_POBLACION_CLAVE_ITS_TRANS_TRATADOS_CONSOLIDADO.Table.sql -o C:\HISMINSA\Resultados\dbo.TRAMA_BASE_ITS_VIH_RPT16_01_POBLACION_CLAVE_ITS_TRANS_TRATADOS_CONSOLIDADO.Table.txt &amp; @echo Script  ejecutado en la Base de datos UEIHNE01/SQLEXPRESS/BDHIS_MINSA</v>
      </c>
    </row>
    <row r="47" spans="1:9" ht="43.5" customHeight="1" thickBot="1" x14ac:dyDescent="0.25">
      <c r="A47" s="4" t="s">
        <v>78</v>
      </c>
      <c r="B47" s="4" t="str">
        <f>IF(MENU!$B$6="","INGRESE SERVIDOR",MENU!$B$6)</f>
        <v>UEIHNE01</v>
      </c>
      <c r="C47" s="13" t="str">
        <f>IF(MENU!$D$6="","",MENU!$D$6)</f>
        <v>SQLEXPRESS</v>
      </c>
      <c r="D47" s="5" t="str">
        <f>IF(MENU!$C$6="","INGRESE BASE",MENU!$C$6)</f>
        <v>BDHIS_MINSA</v>
      </c>
      <c r="E47" s="13" t="str">
        <f>IF(MENU!$C$9="","",MENU!$C$9)</f>
        <v/>
      </c>
      <c r="F47" s="13" t="str">
        <f>IF(MENU!$D$9="","",MENU!$D$9)</f>
        <v/>
      </c>
      <c r="G47" s="8" t="s">
        <v>174</v>
      </c>
      <c r="H47" s="5" t="str">
        <f t="shared" si="0"/>
        <v>@echo Script  ejecutado en la Base de datos UEIHNE01/SQLEXPRESS/BDHIS_MINSA</v>
      </c>
      <c r="I47" s="4" t="str">
        <f>IF(OR(E47="",F47=""),IF(C47="",IF(G47="","",(CONCATENATE("sqlcmd -E -S ",B47," -d ",D47," -i ",MENU!$E$6,A47,"\",G47,".sql -o ",MENU!$B$9,G47, ".txt &amp; ",H47))),IF(G47="","",(CONCATENATE("sqlcmd -E -S ",B47,"\",C47," -d ",D47," -i ",MENU!$E$6,A47,"\",G47,".sql -o ",MENU!$B$9,G47, ".txt &amp; ",H47)))),IF(C47="",IF(G47="","",(CONCATENATE("sqlcmd -S ",B47," -d ",D47," -U ",E47," -P ",F47," -i ",MENU!$E$6,A47,"\",G47,".sql -o ",MENU!$B$9,G47, ".txt &amp; ",H47))),IF(G47="","",(CONCATENATE("sqlcmd -S ",B47,"\",C47," -d ",D47," -U ",E47," -P ",F47," -i ",MENU!$E$6,A47,"\",G47,".sql -o ",MENU!$B$9,G47, ".txt &amp; ",H47)))))</f>
        <v>sqlcmd -E -S UEIHNE01\SQLEXPRESS -d BDHIS_MINSA -i C:\HISMINSA\Scripts\ITSVIH\dbo.TRAMA_BASE_ITS_VIH_RPT16_01_POBLACION_CLAVE_ITS_TRANS_TRATADOS_NOMINAL.Table.sql -o C:\HISMINSA\Resultados\dbo.TRAMA_BASE_ITS_VIH_RPT16_01_POBLACION_CLAVE_ITS_TRANS_TRATADOS_NOMINAL.Table.txt &amp; @echo Script  ejecutado en la Base de datos UEIHNE01/SQLEXPRESS/BDHIS_MINSA</v>
      </c>
    </row>
    <row r="48" spans="1:9" ht="43.5" customHeight="1" thickBot="1" x14ac:dyDescent="0.25">
      <c r="A48" s="4" t="s">
        <v>78</v>
      </c>
      <c r="B48" s="4" t="str">
        <f>IF(MENU!$B$6="","INGRESE SERVIDOR",MENU!$B$6)</f>
        <v>UEIHNE01</v>
      </c>
      <c r="C48" s="13" t="str">
        <f>IF(MENU!$D$6="","",MENU!$D$6)</f>
        <v>SQLEXPRESS</v>
      </c>
      <c r="D48" s="5" t="str">
        <f>IF(MENU!$C$6="","INGRESE BASE",MENU!$C$6)</f>
        <v>BDHIS_MINSA</v>
      </c>
      <c r="E48" s="13" t="str">
        <f>IF(MENU!$C$9="","",MENU!$C$9)</f>
        <v/>
      </c>
      <c r="F48" s="13" t="str">
        <f>IF(MENU!$D$9="","",MENU!$D$9)</f>
        <v/>
      </c>
      <c r="G48" s="8" t="s">
        <v>175</v>
      </c>
      <c r="H48" s="5" t="str">
        <f t="shared" si="0"/>
        <v>@echo Script  ejecutado en la Base de datos UEIHNE01/SQLEXPRESS/BDHIS_MINSA</v>
      </c>
      <c r="I48" s="4" t="str">
        <f>IF(OR(E48="",F48=""),IF(C48="",IF(G48="","",(CONCATENATE("sqlcmd -E -S ",B48," -d ",D48," -i ",MENU!$E$6,A48,"\",G48,".sql -o ",MENU!$B$9,G48, ".txt &amp; ",H48))),IF(G48="","",(CONCATENATE("sqlcmd -E -S ",B48,"\",C48," -d ",D48," -i ",MENU!$E$6,A48,"\",G48,".sql -o ",MENU!$B$9,G48, ".txt &amp; ",H48)))),IF(C48="",IF(G48="","",(CONCATENATE("sqlcmd -S ",B48," -d ",D48," -U ",E48," -P ",F48," -i ",MENU!$E$6,A48,"\",G48,".sql -o ",MENU!$B$9,G48, ".txt &amp; ",H48))),IF(G48="","",(CONCATENATE("sqlcmd -S ",B48,"\",C48," -d ",D48," -U ",E48," -P ",F48," -i ",MENU!$E$6,A48,"\",G48,".sql -o ",MENU!$B$9,G48, ".txt &amp; ",H48)))))</f>
        <v>sqlcmd -E -S UEIHNE01\SQLEXPRESS -d BDHIS_MINSA -i C:\HISMINSA\Scripts\ITSVIH\dbo.TRAMA_BASE_ITS_VIH_RPT16_POBLACION_CLAVE_ITS_TRANS_CONSOLIDADO.Table.sql -o C:\HISMINSA\Resultados\dbo.TRAMA_BASE_ITS_VIH_RPT16_POBLACION_CLAVE_ITS_TRANS_CONSOLIDADO.Table.txt &amp; @echo Script  ejecutado en la Base de datos UEIHNE01/SQLEXPRESS/BDHIS_MINSA</v>
      </c>
    </row>
    <row r="49" spans="1:9" ht="43.5" customHeight="1" thickBot="1" x14ac:dyDescent="0.25">
      <c r="A49" s="4" t="s">
        <v>78</v>
      </c>
      <c r="B49" s="4" t="str">
        <f>IF(MENU!$B$6="","INGRESE SERVIDOR",MENU!$B$6)</f>
        <v>UEIHNE01</v>
      </c>
      <c r="C49" s="13" t="str">
        <f>IF(MENU!$D$6="","",MENU!$D$6)</f>
        <v>SQLEXPRESS</v>
      </c>
      <c r="D49" s="5" t="str">
        <f>IF(MENU!$C$6="","INGRESE BASE",MENU!$C$6)</f>
        <v>BDHIS_MINSA</v>
      </c>
      <c r="E49" s="13" t="str">
        <f>IF(MENU!$C$9="","",MENU!$C$9)</f>
        <v/>
      </c>
      <c r="F49" s="13" t="str">
        <f>IF(MENU!$D$9="","",MENU!$D$9)</f>
        <v/>
      </c>
      <c r="G49" s="8" t="s">
        <v>176</v>
      </c>
      <c r="H49" s="5" t="str">
        <f t="shared" si="0"/>
        <v>@echo Script  ejecutado en la Base de datos UEIHNE01/SQLEXPRESS/BDHIS_MINSA</v>
      </c>
      <c r="I49" s="4" t="str">
        <f>IF(OR(E49="",F49=""),IF(C49="",IF(G49="","",(CONCATENATE("sqlcmd -E -S ",B49," -d ",D49," -i ",MENU!$E$6,A49,"\",G49,".sql -o ",MENU!$B$9,G49, ".txt &amp; ",H49))),IF(G49="","",(CONCATENATE("sqlcmd -E -S ",B49,"\",C49," -d ",D49," -i ",MENU!$E$6,A49,"\",G49,".sql -o ",MENU!$B$9,G49, ".txt &amp; ",H49)))),IF(C49="",IF(G49="","",(CONCATENATE("sqlcmd -S ",B49," -d ",D49," -U ",E49," -P ",F49," -i ",MENU!$E$6,A49,"\",G49,".sql -o ",MENU!$B$9,G49, ".txt &amp; ",H49))),IF(G49="","",(CONCATENATE("sqlcmd -S ",B49,"\",C49," -d ",D49," -U ",E49," -P ",F49," -i ",MENU!$E$6,A49,"\",G49,".sql -o ",MENU!$B$9,G49, ".txt &amp; ",H49)))))</f>
        <v>sqlcmd -E -S UEIHNE01\SQLEXPRESS -d BDHIS_MINSA -i C:\HISMINSA\Scripts\ITSVIH\dbo.TRAMA_BASE_ITS_VIH_RPT16_POBLACION_CLAVE_ITS_TRANS_NOMINAL.Table.sql -o C:\HISMINSA\Resultados\dbo.TRAMA_BASE_ITS_VIH_RPT16_POBLACION_CLAVE_ITS_TRANS_NOMINAL.Table.txt &amp; @echo Script  ejecutado en la Base de datos UEIHNE01/SQLEXPRESS/BDHIS_MINSA</v>
      </c>
    </row>
    <row r="50" spans="1:9" ht="43.5" customHeight="1" thickBot="1" x14ac:dyDescent="0.25">
      <c r="A50" s="4" t="s">
        <v>78</v>
      </c>
      <c r="B50" s="4" t="str">
        <f>IF(MENU!$B$6="","INGRESE SERVIDOR",MENU!$B$6)</f>
        <v>UEIHNE01</v>
      </c>
      <c r="C50" s="13" t="str">
        <f>IF(MENU!$D$6="","",MENU!$D$6)</f>
        <v>SQLEXPRESS</v>
      </c>
      <c r="D50" s="5" t="str">
        <f>IF(MENU!$C$6="","INGRESE BASE",MENU!$C$6)</f>
        <v>BDHIS_MINSA</v>
      </c>
      <c r="E50" s="13" t="str">
        <f>IF(MENU!$C$9="","",MENU!$C$9)</f>
        <v/>
      </c>
      <c r="F50" s="13" t="str">
        <f>IF(MENU!$D$9="","",MENU!$D$9)</f>
        <v/>
      </c>
      <c r="G50" s="8" t="s">
        <v>177</v>
      </c>
      <c r="H50" s="5" t="str">
        <f t="shared" si="0"/>
        <v>@echo Script  ejecutado en la Base de datos UEIHNE01/SQLEXPRESS/BDHIS_MINSA</v>
      </c>
      <c r="I50" s="4" t="str">
        <f>IF(OR(E50="",F50=""),IF(C50="",IF(G50="","",(CONCATENATE("sqlcmd -E -S ",B50," -d ",D50," -i ",MENU!$E$6,A50,"\",G50,".sql -o ",MENU!$B$9,G50, ".txt &amp; ",H50))),IF(G50="","",(CONCATENATE("sqlcmd -E -S ",B50,"\",C50," -d ",D50," -i ",MENU!$E$6,A50,"\",G50,".sql -o ",MENU!$B$9,G50, ".txt &amp; ",H50)))),IF(C50="",IF(G50="","",(CONCATENATE("sqlcmd -S ",B50," -d ",D50," -U ",E50," -P ",F50," -i ",MENU!$E$6,A50,"\",G50,".sql -o ",MENU!$B$9,G50, ".txt &amp; ",H50))),IF(G50="","",(CONCATENATE("sqlcmd -S ",B50,"\",C50," -d ",D50," -U ",E50," -P ",F50," -i ",MENU!$E$6,A50,"\",G50,".sql -o ",MENU!$B$9,G50, ".txt &amp; ",H50)))))</f>
        <v>sqlcmd -E -S UEIHNE01\SQLEXPRESS -d BDHIS_MINSA -i C:\HISMINSA\Scripts\ITSVIH\dbo.TRAMA_BASE_ITS_VIH_RPT17_POBLACION_CLAVE_HSH_TRANS_MOVILES_CONSOLIDADO.Table.sql -o C:\HISMINSA\Resultados\dbo.TRAMA_BASE_ITS_VIH_RPT17_POBLACION_CLAVE_HSH_TRANS_MOVILES_CONSOLIDADO.Table.txt &amp; @echo Script  ejecutado en la Base de datos UEIHNE01/SQLEXPRESS/BDHIS_MINSA</v>
      </c>
    </row>
    <row r="51" spans="1:9" ht="43.5" customHeight="1" thickBot="1" x14ac:dyDescent="0.25">
      <c r="A51" s="4" t="s">
        <v>78</v>
      </c>
      <c r="B51" s="4" t="str">
        <f>IF(MENU!$B$6="","INGRESE SERVIDOR",MENU!$B$6)</f>
        <v>UEIHNE01</v>
      </c>
      <c r="C51" s="13" t="str">
        <f>IF(MENU!$D$6="","",MENU!$D$6)</f>
        <v>SQLEXPRESS</v>
      </c>
      <c r="D51" s="5" t="str">
        <f>IF(MENU!$C$6="","INGRESE BASE",MENU!$C$6)</f>
        <v>BDHIS_MINSA</v>
      </c>
      <c r="E51" s="13" t="str">
        <f>IF(MENU!$C$9="","",MENU!$C$9)</f>
        <v/>
      </c>
      <c r="F51" s="13" t="str">
        <f>IF(MENU!$D$9="","",MENU!$D$9)</f>
        <v/>
      </c>
      <c r="G51" s="8" t="s">
        <v>178</v>
      </c>
      <c r="H51" s="5" t="str">
        <f t="shared" si="0"/>
        <v>@echo Script  ejecutado en la Base de datos UEIHNE01/SQLEXPRESS/BDHIS_MINSA</v>
      </c>
      <c r="I51" s="4" t="str">
        <f>IF(OR(E51="",F51=""),IF(C51="",IF(G51="","",(CONCATENATE("sqlcmd -E -S ",B51," -d ",D51," -i ",MENU!$E$6,A51,"\",G51,".sql -o ",MENU!$B$9,G51, ".txt &amp; ",H51))),IF(G51="","",(CONCATENATE("sqlcmd -E -S ",B51,"\",C51," -d ",D51," -i ",MENU!$E$6,A51,"\",G51,".sql -o ",MENU!$B$9,G51, ".txt &amp; ",H51)))),IF(C51="",IF(G51="","",(CONCATENATE("sqlcmd -S ",B51," -d ",D51," -U ",E51," -P ",F51," -i ",MENU!$E$6,A51,"\",G51,".sql -o ",MENU!$B$9,G51, ".txt &amp; ",H51))),IF(G51="","",(CONCATENATE("sqlcmd -S ",B51,"\",C51," -d ",D51," -U ",E51," -P ",F51," -i ",MENU!$E$6,A51,"\",G51,".sql -o ",MENU!$B$9,G51, ".txt &amp; ",H51)))))</f>
        <v>sqlcmd -E -S UEIHNE01\SQLEXPRESS -d BDHIS_MINSA -i C:\HISMINSA\Scripts\ITSVIH\dbo.TRAMA_BASE_ITS_VIH_RPT17_POBLACION_CLAVE_HSH_TRANS_MOVILES_NOMINAL.Table.sql -o C:\HISMINSA\Resultados\dbo.TRAMA_BASE_ITS_VIH_RPT17_POBLACION_CLAVE_HSH_TRANS_MOVILES_NOMINAL.Table.txt &amp; @echo Script  ejecutado en la Base de datos UEIHNE01/SQLEXPRESS/BDHIS_MINSA</v>
      </c>
    </row>
    <row r="52" spans="1:9" ht="43.5" customHeight="1" thickBot="1" x14ac:dyDescent="0.25">
      <c r="A52" s="4" t="s">
        <v>78</v>
      </c>
      <c r="B52" s="4" t="str">
        <f>IF(MENU!$B$6="","INGRESE SERVIDOR",MENU!$B$6)</f>
        <v>UEIHNE01</v>
      </c>
      <c r="C52" s="13" t="str">
        <f>IF(MENU!$D$6="","",MENU!$D$6)</f>
        <v>SQLEXPRESS</v>
      </c>
      <c r="D52" s="5" t="str">
        <f>IF(MENU!$C$6="","INGRESE BASE",MENU!$C$6)</f>
        <v>BDHIS_MINSA</v>
      </c>
      <c r="E52" s="13" t="str">
        <f>IF(MENU!$C$9="","",MENU!$C$9)</f>
        <v/>
      </c>
      <c r="F52" s="13" t="str">
        <f>IF(MENU!$D$9="","",MENU!$D$9)</f>
        <v/>
      </c>
      <c r="G52" s="8" t="s">
        <v>179</v>
      </c>
      <c r="H52" s="5" t="str">
        <f t="shared" si="0"/>
        <v>@echo Script  ejecutado en la Base de datos UEIHNE01/SQLEXPRESS/BDHIS_MINSA</v>
      </c>
      <c r="I52" s="4" t="str">
        <f>IF(OR(E52="",F52=""),IF(C52="",IF(G52="","",(CONCATENATE("sqlcmd -E -S ",B52," -d ",D52," -i ",MENU!$E$6,A52,"\",G52,".sql -o ",MENU!$B$9,G52, ".txt &amp; ",H52))),IF(G52="","",(CONCATENATE("sqlcmd -E -S ",B52,"\",C52," -d ",D52," -i ",MENU!$E$6,A52,"\",G52,".sql -o ",MENU!$B$9,G52, ".txt &amp; ",H52)))),IF(C52="",IF(G52="","",(CONCATENATE("sqlcmd -S ",B52," -d ",D52," -U ",E52," -P ",F52," -i ",MENU!$E$6,A52,"\",G52,".sql -o ",MENU!$B$9,G52, ".txt &amp; ",H52))),IF(G52="","",(CONCATENATE("sqlcmd -S ",B52,"\",C52," -d ",D52," -U ",E52," -P ",F52," -i ",MENU!$E$6,A52,"\",G52,".sql -o ",MENU!$B$9,G52, ".txt &amp; ",H52)))))</f>
        <v>sqlcmd -E -S UEIHNE01\SQLEXPRESS -d BDHIS_MINSA -i C:\HISMINSA\Scripts\ITSVIH\dbo.TRAMA_BASE_ITS_VIH_RPT18_POBLACION_CLAVE_TS_MOVILES_CONSOLIDADO.Table.sql -o C:\HISMINSA\Resultados\dbo.TRAMA_BASE_ITS_VIH_RPT18_POBLACION_CLAVE_TS_MOVILES_CONSOLIDADO.Table.txt &amp; @echo Script  ejecutado en la Base de datos UEIHNE01/SQLEXPRESS/BDHIS_MINSA</v>
      </c>
    </row>
    <row r="53" spans="1:9" ht="43.5" customHeight="1" thickBot="1" x14ac:dyDescent="0.25">
      <c r="A53" s="4" t="s">
        <v>78</v>
      </c>
      <c r="B53" s="4" t="str">
        <f>IF(MENU!$B$6="","INGRESE SERVIDOR",MENU!$B$6)</f>
        <v>UEIHNE01</v>
      </c>
      <c r="C53" s="13" t="str">
        <f>IF(MENU!$D$6="","",MENU!$D$6)</f>
        <v>SQLEXPRESS</v>
      </c>
      <c r="D53" s="5" t="str">
        <f>IF(MENU!$C$6="","INGRESE BASE",MENU!$C$6)</f>
        <v>BDHIS_MINSA</v>
      </c>
      <c r="E53" s="13" t="str">
        <f>IF(MENU!$C$9="","",MENU!$C$9)</f>
        <v/>
      </c>
      <c r="F53" s="13" t="str">
        <f>IF(MENU!$D$9="","",MENU!$D$9)</f>
        <v/>
      </c>
      <c r="G53" s="8" t="s">
        <v>180</v>
      </c>
      <c r="H53" s="5" t="str">
        <f t="shared" si="0"/>
        <v>@echo Script  ejecutado en la Base de datos UEIHNE01/SQLEXPRESS/BDHIS_MINSA</v>
      </c>
      <c r="I53" s="4" t="str">
        <f>IF(OR(E53="",F53=""),IF(C53="",IF(G53="","",(CONCATENATE("sqlcmd -E -S ",B53," -d ",D53," -i ",MENU!$E$6,A53,"\",G53,".sql -o ",MENU!$B$9,G53, ".txt &amp; ",H53))),IF(G53="","",(CONCATENATE("sqlcmd -E -S ",B53,"\",C53," -d ",D53," -i ",MENU!$E$6,A53,"\",G53,".sql -o ",MENU!$B$9,G53, ".txt &amp; ",H53)))),IF(C53="",IF(G53="","",(CONCATENATE("sqlcmd -S ",B53," -d ",D53," -U ",E53," -P ",F53," -i ",MENU!$E$6,A53,"\",G53,".sql -o ",MENU!$B$9,G53, ".txt &amp; ",H53))),IF(G53="","",(CONCATENATE("sqlcmd -S ",B53,"\",C53," -d ",D53," -U ",E53," -P ",F53," -i ",MENU!$E$6,A53,"\",G53,".sql -o ",MENU!$B$9,G53, ".txt &amp; ",H53)))))</f>
        <v>sqlcmd -E -S UEIHNE01\SQLEXPRESS -d BDHIS_MINSA -i C:\HISMINSA\Scripts\ITSVIH\dbo.TRAMA_BASE_ITS_VIH_RPT18_POBLACION_CLAVE_TS_MOVILES_NOMINAL.Table.sql -o C:\HISMINSA\Resultados\dbo.TRAMA_BASE_ITS_VIH_RPT18_POBLACION_CLAVE_TS_MOVILES_NOMINAL.Table.txt &amp; @echo Script  ejecutado en la Base de datos UEIHNE01/SQLEXPRESS/BDHIS_MINSA</v>
      </c>
    </row>
    <row r="54" spans="1:9" ht="43.5" customHeight="1" thickBot="1" x14ac:dyDescent="0.25">
      <c r="A54" s="4" t="s">
        <v>78</v>
      </c>
      <c r="B54" s="4" t="str">
        <f>IF(MENU!$B$6="","INGRESE SERVIDOR",MENU!$B$6)</f>
        <v>UEIHNE01</v>
      </c>
      <c r="C54" s="13" t="str">
        <f>IF(MENU!$D$6="","",MENU!$D$6)</f>
        <v>SQLEXPRESS</v>
      </c>
      <c r="D54" s="5" t="str">
        <f>IF(MENU!$C$6="","INGRESE BASE",MENU!$C$6)</f>
        <v>BDHIS_MINSA</v>
      </c>
      <c r="E54" s="13" t="str">
        <f>IF(MENU!$C$9="","",MENU!$C$9)</f>
        <v/>
      </c>
      <c r="F54" s="13" t="str">
        <f>IF(MENU!$D$9="","",MENU!$D$9)</f>
        <v/>
      </c>
      <c r="G54" s="8" t="s">
        <v>80</v>
      </c>
      <c r="H54" s="5" t="str">
        <f t="shared" ref="H54:H102" si="1">IF(C54="",CONCATENATE("@echo Script ",G54, ".sql ejecutado en la Base de datos ", B54,"/",D54),CONCATENATE("@echo Script ",E54, " ejecutado en la Base de datos ", B54,"/",C54,"/",D54))</f>
        <v>@echo Script  ejecutado en la Base de datos UEIHNE01/SQLEXPRESS/BDHIS_MINSA</v>
      </c>
      <c r="I54" s="4" t="str">
        <f>IF(OR(E54="",F54=""),IF(C54="",IF(G54="","",(CONCATENATE("sqlcmd -E -S ",B54," -d ",D54," -i ",MENU!$E$6,A54,"\",G54,".sql -o ",MENU!$B$9,G54, ".txt &amp; ",H54))),IF(G54="","",(CONCATENATE("sqlcmd -E -S ",B54,"\",C54," -d ",D54," -i ",MENU!$E$6,A54,"\",G54,".sql -o ",MENU!$B$9,G54, ".txt &amp; ",H54)))),IF(C54="",IF(G54="","",(CONCATENATE("sqlcmd -S ",B54," -d ",D54," -U ",E54," -P ",F54," -i ",MENU!$E$6,A54,"\",G54,".sql -o ",MENU!$B$9,G54, ".txt &amp; ",H54))),IF(G54="","",(CONCATENATE("sqlcmd -S ",B54,"\",C54," -d ",D54," -U ",E54," -P ",F54," -i ",MENU!$E$6,A54,"\",G54,".sql -o ",MENU!$B$9,G54, ".txt &amp; ",H54)))))</f>
        <v>sqlcmd -E -S UEIHNE01\SQLEXPRESS -d BDHIS_MINSA -i C:\HISMINSA\Scripts\ITSVIH\dbo.DimItsVihCondicion01_2019.Table.sql -o C:\HISMINSA\Resultados\dbo.DimItsVihCondicion01_2019.Table.txt &amp; @echo Script  ejecutado en la Base de datos UEIHNE01/SQLEXPRESS/BDHIS_MINSA</v>
      </c>
    </row>
    <row r="55" spans="1:9" ht="43.5" customHeight="1" thickBot="1" x14ac:dyDescent="0.25">
      <c r="A55" s="4" t="s">
        <v>78</v>
      </c>
      <c r="B55" s="4" t="str">
        <f>IF(MENU!$B$6="","INGRESE SERVIDOR",MENU!$B$6)</f>
        <v>UEIHNE01</v>
      </c>
      <c r="C55" s="13" t="str">
        <f>IF(MENU!$D$6="","",MENU!$D$6)</f>
        <v>SQLEXPRESS</v>
      </c>
      <c r="D55" s="5" t="str">
        <f>IF(MENU!$C$6="","INGRESE BASE",MENU!$C$6)</f>
        <v>BDHIS_MINSA</v>
      </c>
      <c r="E55" s="13" t="str">
        <f>IF(MENU!$C$9="","",MENU!$C$9)</f>
        <v/>
      </c>
      <c r="F55" s="13" t="str">
        <f>IF(MENU!$D$9="","",MENU!$D$9)</f>
        <v/>
      </c>
      <c r="G55" s="8" t="s">
        <v>81</v>
      </c>
      <c r="H55" s="5" t="str">
        <f t="shared" si="1"/>
        <v>@echo Script  ejecutado en la Base de datos UEIHNE01/SQLEXPRESS/BDHIS_MINSA</v>
      </c>
      <c r="I55" s="4" t="str">
        <f>IF(OR(E55="",F55=""),IF(C55="",IF(G55="","",(CONCATENATE("sqlcmd -E -S ",B55," -d ",D55," -i ",MENU!$E$6,A55,"\",G55,".sql -o ",MENU!$B$9,G55, ".txt &amp; ",H55))),IF(G55="","",(CONCATENATE("sqlcmd -E -S ",B55,"\",C55," -d ",D55," -i ",MENU!$E$6,A55,"\",G55,".sql -o ",MENU!$B$9,G55, ".txt &amp; ",H55)))),IF(C55="",IF(G55="","",(CONCATENATE("sqlcmd -S ",B55," -d ",D55," -U ",E55," -P ",F55," -i ",MENU!$E$6,A55,"\",G55,".sql -o ",MENU!$B$9,G55, ".txt &amp; ",H55))),IF(G55="","",(CONCATENATE("sqlcmd -S ",B55,"\",C55," -d ",D55," -U ",E55," -P ",F55," -i ",MENU!$E$6,A55,"\",G55,".sql -o ",MENU!$B$9,G55, ".txt &amp; ",H55)))))</f>
        <v>sqlcmd -E -S UEIHNE01\SQLEXPRESS -d BDHIS_MINSA -i C:\HISMINSA\Scripts\ITSVIH\dbo.DimItsVihCondicion02_2019.Table.sql -o C:\HISMINSA\Resultados\dbo.DimItsVihCondicion02_2019.Table.txt &amp; @echo Script  ejecutado en la Base de datos UEIHNE01/SQLEXPRESS/BDHIS_MINSA</v>
      </c>
    </row>
    <row r="56" spans="1:9" ht="43.5" customHeight="1" thickBot="1" x14ac:dyDescent="0.25">
      <c r="A56" s="4" t="s">
        <v>78</v>
      </c>
      <c r="B56" s="4" t="str">
        <f>IF(MENU!$B$6="","INGRESE SERVIDOR",MENU!$B$6)</f>
        <v>UEIHNE01</v>
      </c>
      <c r="C56" s="13" t="str">
        <f>IF(MENU!$D$6="","",MENU!$D$6)</f>
        <v>SQLEXPRESS</v>
      </c>
      <c r="D56" s="5" t="str">
        <f>IF(MENU!$C$6="","INGRESE BASE",MENU!$C$6)</f>
        <v>BDHIS_MINSA</v>
      </c>
      <c r="E56" s="13" t="str">
        <f>IF(MENU!$C$9="","",MENU!$C$9)</f>
        <v/>
      </c>
      <c r="F56" s="13" t="str">
        <f>IF(MENU!$D$9="","",MENU!$D$9)</f>
        <v/>
      </c>
      <c r="G56" s="8" t="s">
        <v>82</v>
      </c>
      <c r="H56" s="5" t="str">
        <f t="shared" si="1"/>
        <v>@echo Script  ejecutado en la Base de datos UEIHNE01/SQLEXPRESS/BDHIS_MINSA</v>
      </c>
      <c r="I56" s="4" t="str">
        <f>IF(OR(E56="",F56=""),IF(C56="",IF(G56="","",(CONCATENATE("sqlcmd -E -S ",B56," -d ",D56," -i ",MENU!$E$6,A56,"\",G56,".sql -o ",MENU!$B$9,G56, ".txt &amp; ",H56))),IF(G56="","",(CONCATENATE("sqlcmd -E -S ",B56,"\",C56," -d ",D56," -i ",MENU!$E$6,A56,"\",G56,".sql -o ",MENU!$B$9,G56, ".txt &amp; ",H56)))),IF(C56="",IF(G56="","",(CONCATENATE("sqlcmd -S ",B56," -d ",D56," -U ",E56," -P ",F56," -i ",MENU!$E$6,A56,"\",G56,".sql -o ",MENU!$B$9,G56, ".txt &amp; ",H56))),IF(G56="","",(CONCATENATE("sqlcmd -S ",B56,"\",C56," -d ",D56," -U ",E56," -P ",F56," -i ",MENU!$E$6,A56,"\",G56,".sql -o ",MENU!$B$9,G56, ".txt &amp; ",H56)))))</f>
        <v>sqlcmd -E -S UEIHNE01\SQLEXPRESS -d BDHIS_MINSA -i C:\HISMINSA\Scripts\ITSVIH\dbo.DimItsVihCondicion11_2019.Table.sql -o C:\HISMINSA\Resultados\dbo.DimItsVihCondicion11_2019.Table.txt &amp; @echo Script  ejecutado en la Base de datos UEIHNE01/SQLEXPRESS/BDHIS_MINSA</v>
      </c>
    </row>
    <row r="57" spans="1:9" ht="43.5" customHeight="1" thickBot="1" x14ac:dyDescent="0.25">
      <c r="A57" s="4" t="s">
        <v>78</v>
      </c>
      <c r="B57" s="4" t="str">
        <f>IF(MENU!$B$6="","INGRESE SERVIDOR",MENU!$B$6)</f>
        <v>UEIHNE01</v>
      </c>
      <c r="C57" s="13" t="str">
        <f>IF(MENU!$D$6="","",MENU!$D$6)</f>
        <v>SQLEXPRESS</v>
      </c>
      <c r="D57" s="5" t="str">
        <f>IF(MENU!$C$6="","INGRESE BASE",MENU!$C$6)</f>
        <v>BDHIS_MINSA</v>
      </c>
      <c r="E57" s="13" t="str">
        <f>IF(MENU!$C$9="","",MENU!$C$9)</f>
        <v/>
      </c>
      <c r="F57" s="13" t="str">
        <f>IF(MENU!$D$9="","",MENU!$D$9)</f>
        <v/>
      </c>
      <c r="G57" s="8" t="s">
        <v>83</v>
      </c>
      <c r="H57" s="5" t="str">
        <f t="shared" si="1"/>
        <v>@echo Script  ejecutado en la Base de datos UEIHNE01/SQLEXPRESS/BDHIS_MINSA</v>
      </c>
      <c r="I57" s="4" t="str">
        <f>IF(OR(E57="",F57=""),IF(C57="",IF(G57="","",(CONCATENATE("sqlcmd -E -S ",B57," -d ",D57," -i ",MENU!$E$6,A57,"\",G57,".sql -o ",MENU!$B$9,G57, ".txt &amp; ",H57))),IF(G57="","",(CONCATENATE("sqlcmd -E -S ",B57,"\",C57," -d ",D57," -i ",MENU!$E$6,A57,"\",G57,".sql -o ",MENU!$B$9,G57, ".txt &amp; ",H57)))),IF(C57="",IF(G57="","",(CONCATENATE("sqlcmd -S ",B57," -d ",D57," -U ",E57," -P ",F57," -i ",MENU!$E$6,A57,"\",G57,".sql -o ",MENU!$B$9,G57, ".txt &amp; ",H57))),IF(G57="","",(CONCATENATE("sqlcmd -S ",B57,"\",C57," -d ",D57," -U ",E57," -P ",F57," -i ",MENU!$E$6,A57,"\",G57,".sql -o ",MENU!$B$9,G57, ".txt &amp; ",H57)))))</f>
        <v>sqlcmd -E -S UEIHNE01\SQLEXPRESS -d BDHIS_MINSA -i C:\HISMINSA\Scripts\ITSVIH\dbo.DimItsVihCondicion15_2019.Table.sql -o C:\HISMINSA\Resultados\dbo.DimItsVihCondicion15_2019.Table.txt &amp; @echo Script  ejecutado en la Base de datos UEIHNE01/SQLEXPRESS/BDHIS_MINSA</v>
      </c>
    </row>
    <row r="58" spans="1:9" ht="43.5" customHeight="1" thickBot="1" x14ac:dyDescent="0.25">
      <c r="A58" s="4" t="s">
        <v>78</v>
      </c>
      <c r="B58" s="4" t="str">
        <f>IF(MENU!$B$6="","INGRESE SERVIDOR",MENU!$B$6)</f>
        <v>UEIHNE01</v>
      </c>
      <c r="C58" s="13" t="str">
        <f>IF(MENU!$D$6="","",MENU!$D$6)</f>
        <v>SQLEXPRESS</v>
      </c>
      <c r="D58" s="5" t="str">
        <f>IF(MENU!$C$6="","INGRESE BASE",MENU!$C$6)</f>
        <v>BDHIS_MINSA</v>
      </c>
      <c r="E58" s="13" t="str">
        <f>IF(MENU!$C$9="","",MENU!$C$9)</f>
        <v/>
      </c>
      <c r="F58" s="13" t="str">
        <f>IF(MENU!$D$9="","",MENU!$D$9)</f>
        <v/>
      </c>
      <c r="G58" s="8" t="s">
        <v>84</v>
      </c>
      <c r="H58" s="5" t="str">
        <f t="shared" si="1"/>
        <v>@echo Script  ejecutado en la Base de datos UEIHNE01/SQLEXPRESS/BDHIS_MINSA</v>
      </c>
      <c r="I58" s="4" t="str">
        <f>IF(OR(E58="",F58=""),IF(C58="",IF(G58="","",(CONCATENATE("sqlcmd -E -S ",B58," -d ",D58," -i ",MENU!$E$6,A58,"\",G58,".sql -o ",MENU!$B$9,G58, ".txt &amp; ",H58))),IF(G58="","",(CONCATENATE("sqlcmd -E -S ",B58,"\",C58," -d ",D58," -i ",MENU!$E$6,A58,"\",G58,".sql -o ",MENU!$B$9,G58, ".txt &amp; ",H58)))),IF(C58="",IF(G58="","",(CONCATENATE("sqlcmd -S ",B58," -d ",D58," -U ",E58," -P ",F58," -i ",MENU!$E$6,A58,"\",G58,".sql -o ",MENU!$B$9,G58, ".txt &amp; ",H58))),IF(G58="","",(CONCATENATE("sqlcmd -S ",B58,"\",C58," -d ",D58," -U ",E58," -P ",F58," -i ",MENU!$E$6,A58,"\",G58,".sql -o ",MENU!$B$9,G58, ".txt &amp; ",H58)))))</f>
        <v>sqlcmd -E -S UEIHNE01\SQLEXPRESS -d BDHIS_MINSA -i C:\HISMINSA\Scripts\ITSVIH\dbo.DimItsVihCondicion21_2019.Table.sql -o C:\HISMINSA\Resultados\dbo.DimItsVihCondicion21_2019.Table.txt &amp; @echo Script  ejecutado en la Base de datos UEIHNE01/SQLEXPRESS/BDHIS_MINSA</v>
      </c>
    </row>
    <row r="59" spans="1:9" ht="43.5" customHeight="1" thickBot="1" x14ac:dyDescent="0.25">
      <c r="A59" s="4" t="s">
        <v>78</v>
      </c>
      <c r="B59" s="4" t="str">
        <f>IF(MENU!$B$6="","INGRESE SERVIDOR",MENU!$B$6)</f>
        <v>UEIHNE01</v>
      </c>
      <c r="C59" s="13" t="str">
        <f>IF(MENU!$D$6="","",MENU!$D$6)</f>
        <v>SQLEXPRESS</v>
      </c>
      <c r="D59" s="5" t="str">
        <f>IF(MENU!$C$6="","INGRESE BASE",MENU!$C$6)</f>
        <v>BDHIS_MINSA</v>
      </c>
      <c r="E59" s="13" t="str">
        <f>IF(MENU!$C$9="","",MENU!$C$9)</f>
        <v/>
      </c>
      <c r="F59" s="13" t="str">
        <f>IF(MENU!$D$9="","",MENU!$D$9)</f>
        <v/>
      </c>
      <c r="G59" s="8" t="s">
        <v>85</v>
      </c>
      <c r="H59" s="5" t="str">
        <f t="shared" si="1"/>
        <v>@echo Script  ejecutado en la Base de datos UEIHNE01/SQLEXPRESS/BDHIS_MINSA</v>
      </c>
      <c r="I59" s="4" t="str">
        <f>IF(OR(E59="",F59=""),IF(C59="",IF(G59="","",(CONCATENATE("sqlcmd -E -S ",B59," -d ",D59," -i ",MENU!$E$6,A59,"\",G59,".sql -o ",MENU!$B$9,G59, ".txt &amp; ",H59))),IF(G59="","",(CONCATENATE("sqlcmd -E -S ",B59,"\",C59," -d ",D59," -i ",MENU!$E$6,A59,"\",G59,".sql -o ",MENU!$B$9,G59, ".txt &amp; ",H59)))),IF(C59="",IF(G59="","",(CONCATENATE("sqlcmd -S ",B59," -d ",D59," -U ",E59," -P ",F59," -i ",MENU!$E$6,A59,"\",G59,".sql -o ",MENU!$B$9,G59, ".txt &amp; ",H59))),IF(G59="","",(CONCATENATE("sqlcmd -S ",B59,"\",C59," -d ",D59," -U ",E59," -P ",F59," -i ",MENU!$E$6,A59,"\",G59,".sql -o ",MENU!$B$9,G59, ".txt &amp; ",H59)))))</f>
        <v>sqlcmd -E -S UEIHNE01\SQLEXPRESS -d BDHIS_MINSA -i C:\HISMINSA\Scripts\ITSVIH\dbo.DimItsVihCondicion23_2019.Table.sql -o C:\HISMINSA\Resultados\dbo.DimItsVihCondicion23_2019.Table.txt &amp; @echo Script  ejecutado en la Base de datos UEIHNE01/SQLEXPRESS/BDHIS_MINSA</v>
      </c>
    </row>
    <row r="60" spans="1:9" ht="43.5" customHeight="1" thickBot="1" x14ac:dyDescent="0.25">
      <c r="A60" s="4" t="s">
        <v>78</v>
      </c>
      <c r="B60" s="4" t="str">
        <f>IF(MENU!$B$6="","INGRESE SERVIDOR",MENU!$B$6)</f>
        <v>UEIHNE01</v>
      </c>
      <c r="C60" s="13" t="str">
        <f>IF(MENU!$D$6="","",MENU!$D$6)</f>
        <v>SQLEXPRESS</v>
      </c>
      <c r="D60" s="5" t="str">
        <f>IF(MENU!$C$6="","INGRESE BASE",MENU!$C$6)</f>
        <v>BDHIS_MINSA</v>
      </c>
      <c r="E60" s="13" t="str">
        <f>IF(MENU!$C$9="","",MENU!$C$9)</f>
        <v/>
      </c>
      <c r="F60" s="13" t="str">
        <f>IF(MENU!$D$9="","",MENU!$D$9)</f>
        <v/>
      </c>
      <c r="G60" s="8" t="s">
        <v>86</v>
      </c>
      <c r="H60" s="5" t="str">
        <f t="shared" si="1"/>
        <v>@echo Script  ejecutado en la Base de datos UEIHNE01/SQLEXPRESS/BDHIS_MINSA</v>
      </c>
      <c r="I60" s="4" t="str">
        <f>IF(OR(E60="",F60=""),IF(C60="",IF(G60="","",(CONCATENATE("sqlcmd -E -S ",B60," -d ",D60," -i ",MENU!$E$6,A60,"\",G60,".sql -o ",MENU!$B$9,G60, ".txt &amp; ",H60))),IF(G60="","",(CONCATENATE("sqlcmd -E -S ",B60,"\",C60," -d ",D60," -i ",MENU!$E$6,A60,"\",G60,".sql -o ",MENU!$B$9,G60, ".txt &amp; ",H60)))),IF(C60="",IF(G60="","",(CONCATENATE("sqlcmd -S ",B60," -d ",D60," -U ",E60," -P ",F60," -i ",MENU!$E$6,A60,"\",G60,".sql -o ",MENU!$B$9,G60, ".txt &amp; ",H60))),IF(G60="","",(CONCATENATE("sqlcmd -S ",B60,"\",C60," -d ",D60," -U ",E60," -P ",F60," -i ",MENU!$E$6,A60,"\",G60,".sql -o ",MENU!$B$9,G60, ".txt &amp; ",H60)))))</f>
        <v>sqlcmd -E -S UEIHNE01\SQLEXPRESS -d BDHIS_MINSA -i C:\HISMINSA\Scripts\ITSVIH\dbo.DimItsVihDiagnostico01_2019.Table.sql -o C:\HISMINSA\Resultados\dbo.DimItsVihDiagnostico01_2019.Table.txt &amp; @echo Script  ejecutado en la Base de datos UEIHNE01/SQLEXPRESS/BDHIS_MINSA</v>
      </c>
    </row>
    <row r="61" spans="1:9" ht="43.5" customHeight="1" thickBot="1" x14ac:dyDescent="0.25">
      <c r="A61" s="4" t="s">
        <v>78</v>
      </c>
      <c r="B61" s="4" t="str">
        <f>IF(MENU!$B$6="","INGRESE SERVIDOR",MENU!$B$6)</f>
        <v>UEIHNE01</v>
      </c>
      <c r="C61" s="13" t="str">
        <f>IF(MENU!$D$6="","",MENU!$D$6)</f>
        <v>SQLEXPRESS</v>
      </c>
      <c r="D61" s="5" t="str">
        <f>IF(MENU!$C$6="","INGRESE BASE",MENU!$C$6)</f>
        <v>BDHIS_MINSA</v>
      </c>
      <c r="E61" s="13" t="str">
        <f>IF(MENU!$C$9="","",MENU!$C$9)</f>
        <v/>
      </c>
      <c r="F61" s="13" t="str">
        <f>IF(MENU!$D$9="","",MENU!$D$9)</f>
        <v/>
      </c>
      <c r="G61" s="8" t="s">
        <v>87</v>
      </c>
      <c r="H61" s="5" t="str">
        <f t="shared" si="1"/>
        <v>@echo Script  ejecutado en la Base de datos UEIHNE01/SQLEXPRESS/BDHIS_MINSA</v>
      </c>
      <c r="I61" s="4" t="str">
        <f>IF(OR(E61="",F61=""),IF(C61="",IF(G61="","",(CONCATENATE("sqlcmd -E -S ",B61," -d ",D61," -i ",MENU!$E$6,A61,"\",G61,".sql -o ",MENU!$B$9,G61, ".txt &amp; ",H61))),IF(G61="","",(CONCATENATE("sqlcmd -E -S ",B61,"\",C61," -d ",D61," -i ",MENU!$E$6,A61,"\",G61,".sql -o ",MENU!$B$9,G61, ".txt &amp; ",H61)))),IF(C61="",IF(G61="","",(CONCATENATE("sqlcmd -S ",B61," -d ",D61," -U ",E61," -P ",F61," -i ",MENU!$E$6,A61,"\",G61,".sql -o ",MENU!$B$9,G61, ".txt &amp; ",H61))),IF(G61="","",(CONCATENATE("sqlcmd -S ",B61,"\",C61," -d ",D61," -U ",E61," -P ",F61," -i ",MENU!$E$6,A61,"\",G61,".sql -o ",MENU!$B$9,G61, ".txt &amp; ",H61)))))</f>
        <v>sqlcmd -E -S UEIHNE01\SQLEXPRESS -d BDHIS_MINSA -i C:\HISMINSA\Scripts\ITSVIH\dbo.DimItsVihDiagnostico02_2019.Table.sql -o C:\HISMINSA\Resultados\dbo.DimItsVihDiagnostico02_2019.Table.txt &amp; @echo Script  ejecutado en la Base de datos UEIHNE01/SQLEXPRESS/BDHIS_MINSA</v>
      </c>
    </row>
    <row r="62" spans="1:9" ht="43.5" customHeight="1" thickBot="1" x14ac:dyDescent="0.25">
      <c r="A62" s="4" t="s">
        <v>78</v>
      </c>
      <c r="B62" s="4" t="str">
        <f>IF(MENU!$B$6="","INGRESE SERVIDOR",MENU!$B$6)</f>
        <v>UEIHNE01</v>
      </c>
      <c r="C62" s="13" t="str">
        <f>IF(MENU!$D$6="","",MENU!$D$6)</f>
        <v>SQLEXPRESS</v>
      </c>
      <c r="D62" s="5" t="str">
        <f>IF(MENU!$C$6="","INGRESE BASE",MENU!$C$6)</f>
        <v>BDHIS_MINSA</v>
      </c>
      <c r="E62" s="13" t="str">
        <f>IF(MENU!$C$9="","",MENU!$C$9)</f>
        <v/>
      </c>
      <c r="F62" s="13" t="str">
        <f>IF(MENU!$D$9="","",MENU!$D$9)</f>
        <v/>
      </c>
      <c r="G62" s="8" t="s">
        <v>88</v>
      </c>
      <c r="H62" s="5" t="str">
        <f t="shared" si="1"/>
        <v>@echo Script  ejecutado en la Base de datos UEIHNE01/SQLEXPRESS/BDHIS_MINSA</v>
      </c>
      <c r="I62" s="4" t="str">
        <f>IF(OR(E62="",F62=""),IF(C62="",IF(G62="","",(CONCATENATE("sqlcmd -E -S ",B62," -d ",D62," -i ",MENU!$E$6,A62,"\",G62,".sql -o ",MENU!$B$9,G62, ".txt &amp; ",H62))),IF(G62="","",(CONCATENATE("sqlcmd -E -S ",B62,"\",C62," -d ",D62," -i ",MENU!$E$6,A62,"\",G62,".sql -o ",MENU!$B$9,G62, ".txt &amp; ",H62)))),IF(C62="",IF(G62="","",(CONCATENATE("sqlcmd -S ",B62," -d ",D62," -U ",E62," -P ",F62," -i ",MENU!$E$6,A62,"\",G62,".sql -o ",MENU!$B$9,G62, ".txt &amp; ",H62))),IF(G62="","",(CONCATENATE("sqlcmd -S ",B62,"\",C62," -d ",D62," -U ",E62," -P ",F62," -i ",MENU!$E$6,A62,"\",G62,".sql -o ",MENU!$B$9,G62, ".txt &amp; ",H62)))))</f>
        <v>sqlcmd -E -S UEIHNE01\SQLEXPRESS -d BDHIS_MINSA -i C:\HISMINSA\Scripts\ITSVIH\dbo.DimItsVihDiagnostico03_2019.Table.sql -o C:\HISMINSA\Resultados\dbo.DimItsVihDiagnostico03_2019.Table.txt &amp; @echo Script  ejecutado en la Base de datos UEIHNE01/SQLEXPRESS/BDHIS_MINSA</v>
      </c>
    </row>
    <row r="63" spans="1:9" ht="43.5" customHeight="1" thickBot="1" x14ac:dyDescent="0.25">
      <c r="A63" s="4" t="s">
        <v>78</v>
      </c>
      <c r="B63" s="4" t="str">
        <f>IF(MENU!$B$6="","INGRESE SERVIDOR",MENU!$B$6)</f>
        <v>UEIHNE01</v>
      </c>
      <c r="C63" s="13" t="str">
        <f>IF(MENU!$D$6="","",MENU!$D$6)</f>
        <v>SQLEXPRESS</v>
      </c>
      <c r="D63" s="5" t="str">
        <f>IF(MENU!$C$6="","INGRESE BASE",MENU!$C$6)</f>
        <v>BDHIS_MINSA</v>
      </c>
      <c r="E63" s="13" t="str">
        <f>IF(MENU!$C$9="","",MENU!$C$9)</f>
        <v/>
      </c>
      <c r="F63" s="13" t="str">
        <f>IF(MENU!$D$9="","",MENU!$D$9)</f>
        <v/>
      </c>
      <c r="G63" s="8" t="s">
        <v>89</v>
      </c>
      <c r="H63" s="5" t="str">
        <f t="shared" si="1"/>
        <v>@echo Script  ejecutado en la Base de datos UEIHNE01/SQLEXPRESS/BDHIS_MINSA</v>
      </c>
      <c r="I63" s="4" t="str">
        <f>IF(OR(E63="",F63=""),IF(C63="",IF(G63="","",(CONCATENATE("sqlcmd -E -S ",B63," -d ",D63," -i ",MENU!$E$6,A63,"\",G63,".sql -o ",MENU!$B$9,G63, ".txt &amp; ",H63))),IF(G63="","",(CONCATENATE("sqlcmd -E -S ",B63,"\",C63," -d ",D63," -i ",MENU!$E$6,A63,"\",G63,".sql -o ",MENU!$B$9,G63, ".txt &amp; ",H63)))),IF(C63="",IF(G63="","",(CONCATENATE("sqlcmd -S ",B63," -d ",D63," -U ",E63," -P ",F63," -i ",MENU!$E$6,A63,"\",G63,".sql -o ",MENU!$B$9,G63, ".txt &amp; ",H63))),IF(G63="","",(CONCATENATE("sqlcmd -S ",B63,"\",C63," -d ",D63," -U ",E63," -P ",F63," -i ",MENU!$E$6,A63,"\",G63,".sql -o ",MENU!$B$9,G63, ".txt &amp; ",H63)))))</f>
        <v>sqlcmd -E -S UEIHNE01\SQLEXPRESS -d BDHIS_MINSA -i C:\HISMINSA\Scripts\ITSVIH\dbo.DimItsVihDiagnostico04_2019.Table.sql -o C:\HISMINSA\Resultados\dbo.DimItsVihDiagnostico04_2019.Table.txt &amp; @echo Script  ejecutado en la Base de datos UEIHNE01/SQLEXPRESS/BDHIS_MINSA</v>
      </c>
    </row>
    <row r="64" spans="1:9" ht="43.5" customHeight="1" thickBot="1" x14ac:dyDescent="0.25">
      <c r="A64" s="4" t="s">
        <v>78</v>
      </c>
      <c r="B64" s="4" t="str">
        <f>IF(MENU!$B$6="","INGRESE SERVIDOR",MENU!$B$6)</f>
        <v>UEIHNE01</v>
      </c>
      <c r="C64" s="13" t="str">
        <f>IF(MENU!$D$6="","",MENU!$D$6)</f>
        <v>SQLEXPRESS</v>
      </c>
      <c r="D64" s="5" t="str">
        <f>IF(MENU!$C$6="","INGRESE BASE",MENU!$C$6)</f>
        <v>BDHIS_MINSA</v>
      </c>
      <c r="E64" s="13" t="str">
        <f>IF(MENU!$C$9="","",MENU!$C$9)</f>
        <v/>
      </c>
      <c r="F64" s="13" t="str">
        <f>IF(MENU!$D$9="","",MENU!$D$9)</f>
        <v/>
      </c>
      <c r="G64" s="8" t="s">
        <v>90</v>
      </c>
      <c r="H64" s="5" t="str">
        <f t="shared" si="1"/>
        <v>@echo Script  ejecutado en la Base de datos UEIHNE01/SQLEXPRESS/BDHIS_MINSA</v>
      </c>
      <c r="I64" s="4" t="str">
        <f>IF(OR(E64="",F64=""),IF(C64="",IF(G64="","",(CONCATENATE("sqlcmd -E -S ",B64," -d ",D64," -i ",MENU!$E$6,A64,"\",G64,".sql -o ",MENU!$B$9,G64, ".txt &amp; ",H64))),IF(G64="","",(CONCATENATE("sqlcmd -E -S ",B64,"\",C64," -d ",D64," -i ",MENU!$E$6,A64,"\",G64,".sql -o ",MENU!$B$9,G64, ".txt &amp; ",H64)))),IF(C64="",IF(G64="","",(CONCATENATE("sqlcmd -S ",B64," -d ",D64," -U ",E64," -P ",F64," -i ",MENU!$E$6,A64,"\",G64,".sql -o ",MENU!$B$9,G64, ".txt &amp; ",H64))),IF(G64="","",(CONCATENATE("sqlcmd -S ",B64,"\",C64," -d ",D64," -U ",E64," -P ",F64," -i ",MENU!$E$6,A64,"\",G64,".sql -o ",MENU!$B$9,G64, ".txt &amp; ",H64)))))</f>
        <v>sqlcmd -E -S UEIHNE01\SQLEXPRESS -d BDHIS_MINSA -i C:\HISMINSA\Scripts\ITSVIH\dbo.DimItsVihDiagnostico05_2019.Table.sql -o C:\HISMINSA\Resultados\dbo.DimItsVihDiagnostico05_2019.Table.txt &amp; @echo Script  ejecutado en la Base de datos UEIHNE01/SQLEXPRESS/BDHIS_MINSA</v>
      </c>
    </row>
    <row r="65" spans="1:9" ht="43.5" customHeight="1" thickBot="1" x14ac:dyDescent="0.25">
      <c r="A65" s="4" t="s">
        <v>78</v>
      </c>
      <c r="B65" s="4" t="str">
        <f>IF(MENU!$B$6="","INGRESE SERVIDOR",MENU!$B$6)</f>
        <v>UEIHNE01</v>
      </c>
      <c r="C65" s="13" t="str">
        <f>IF(MENU!$D$6="","",MENU!$D$6)</f>
        <v>SQLEXPRESS</v>
      </c>
      <c r="D65" s="5" t="str">
        <f>IF(MENU!$C$6="","INGRESE BASE",MENU!$C$6)</f>
        <v>BDHIS_MINSA</v>
      </c>
      <c r="E65" s="13" t="str">
        <f>IF(MENU!$C$9="","",MENU!$C$9)</f>
        <v/>
      </c>
      <c r="F65" s="13" t="str">
        <f>IF(MENU!$D$9="","",MENU!$D$9)</f>
        <v/>
      </c>
      <c r="G65" s="8" t="s">
        <v>91</v>
      </c>
      <c r="H65" s="5" t="str">
        <f t="shared" si="1"/>
        <v>@echo Script  ejecutado en la Base de datos UEIHNE01/SQLEXPRESS/BDHIS_MINSA</v>
      </c>
      <c r="I65" s="4" t="str">
        <f>IF(OR(E65="",F65=""),IF(C65="",IF(G65="","",(CONCATENATE("sqlcmd -E -S ",B65," -d ",D65," -i ",MENU!$E$6,A65,"\",G65,".sql -o ",MENU!$B$9,G65, ".txt &amp; ",H65))),IF(G65="","",(CONCATENATE("sqlcmd -E -S ",B65,"\",C65," -d ",D65," -i ",MENU!$E$6,A65,"\",G65,".sql -o ",MENU!$B$9,G65, ".txt &amp; ",H65)))),IF(C65="",IF(G65="","",(CONCATENATE("sqlcmd -S ",B65," -d ",D65," -U ",E65," -P ",F65," -i ",MENU!$E$6,A65,"\",G65,".sql -o ",MENU!$B$9,G65, ".txt &amp; ",H65))),IF(G65="","",(CONCATENATE("sqlcmd -S ",B65,"\",C65," -d ",D65," -U ",E65," -P ",F65," -i ",MENU!$E$6,A65,"\",G65,".sql -o ",MENU!$B$9,G65, ".txt &amp; ",H65)))))</f>
        <v>sqlcmd -E -S UEIHNE01\SQLEXPRESS -d BDHIS_MINSA -i C:\HISMINSA\Scripts\ITSVIH\dbo.DimItsVihDiagnostico06_2019.Table.sql -o C:\HISMINSA\Resultados\dbo.DimItsVihDiagnostico06_2019.Table.txt &amp; @echo Script  ejecutado en la Base de datos UEIHNE01/SQLEXPRESS/BDHIS_MINSA</v>
      </c>
    </row>
    <row r="66" spans="1:9" ht="43.5" customHeight="1" thickBot="1" x14ac:dyDescent="0.25">
      <c r="A66" s="4" t="s">
        <v>78</v>
      </c>
      <c r="B66" s="4" t="str">
        <f>IF(MENU!$B$6="","INGRESE SERVIDOR",MENU!$B$6)</f>
        <v>UEIHNE01</v>
      </c>
      <c r="C66" s="13" t="str">
        <f>IF(MENU!$D$6="","",MENU!$D$6)</f>
        <v>SQLEXPRESS</v>
      </c>
      <c r="D66" s="5" t="str">
        <f>IF(MENU!$C$6="","INGRESE BASE",MENU!$C$6)</f>
        <v>BDHIS_MINSA</v>
      </c>
      <c r="E66" s="13" t="str">
        <f>IF(MENU!$C$9="","",MENU!$C$9)</f>
        <v/>
      </c>
      <c r="F66" s="13" t="str">
        <f>IF(MENU!$D$9="","",MENU!$D$9)</f>
        <v/>
      </c>
      <c r="G66" s="8" t="s">
        <v>92</v>
      </c>
      <c r="H66" s="5" t="str">
        <f t="shared" si="1"/>
        <v>@echo Script  ejecutado en la Base de datos UEIHNE01/SQLEXPRESS/BDHIS_MINSA</v>
      </c>
      <c r="I66" s="4" t="str">
        <f>IF(OR(E66="",F66=""),IF(C66="",IF(G66="","",(CONCATENATE("sqlcmd -E -S ",B66," -d ",D66," -i ",MENU!$E$6,A66,"\",G66,".sql -o ",MENU!$B$9,G66, ".txt &amp; ",H66))),IF(G66="","",(CONCATENATE("sqlcmd -E -S ",B66,"\",C66," -d ",D66," -i ",MENU!$E$6,A66,"\",G66,".sql -o ",MENU!$B$9,G66, ".txt &amp; ",H66)))),IF(C66="",IF(G66="","",(CONCATENATE("sqlcmd -S ",B66," -d ",D66," -U ",E66," -P ",F66," -i ",MENU!$E$6,A66,"\",G66,".sql -o ",MENU!$B$9,G66, ".txt &amp; ",H66))),IF(G66="","",(CONCATENATE("sqlcmd -S ",B66,"\",C66," -d ",D66," -U ",E66," -P ",F66," -i ",MENU!$E$6,A66,"\",G66,".sql -o ",MENU!$B$9,G66, ".txt &amp; ",H66)))))</f>
        <v>sqlcmd -E -S UEIHNE01\SQLEXPRESS -d BDHIS_MINSA -i C:\HISMINSA\Scripts\ITSVIH\dbo.DimItsVihDiagnostico07_2019.Table.sql -o C:\HISMINSA\Resultados\dbo.DimItsVihDiagnostico07_2019.Table.txt &amp; @echo Script  ejecutado en la Base de datos UEIHNE01/SQLEXPRESS/BDHIS_MINSA</v>
      </c>
    </row>
    <row r="67" spans="1:9" ht="43.5" customHeight="1" thickBot="1" x14ac:dyDescent="0.25">
      <c r="A67" s="4" t="s">
        <v>78</v>
      </c>
      <c r="B67" s="4" t="str">
        <f>IF(MENU!$B$6="","INGRESE SERVIDOR",MENU!$B$6)</f>
        <v>UEIHNE01</v>
      </c>
      <c r="C67" s="13" t="str">
        <f>IF(MENU!$D$6="","",MENU!$D$6)</f>
        <v>SQLEXPRESS</v>
      </c>
      <c r="D67" s="5" t="str">
        <f>IF(MENU!$C$6="","INGRESE BASE",MENU!$C$6)</f>
        <v>BDHIS_MINSA</v>
      </c>
      <c r="E67" s="13" t="str">
        <f>IF(MENU!$C$9="","",MENU!$C$9)</f>
        <v/>
      </c>
      <c r="F67" s="13" t="str">
        <f>IF(MENU!$D$9="","",MENU!$D$9)</f>
        <v/>
      </c>
      <c r="G67" s="8" t="s">
        <v>93</v>
      </c>
      <c r="H67" s="5" t="str">
        <f t="shared" si="1"/>
        <v>@echo Script  ejecutado en la Base de datos UEIHNE01/SQLEXPRESS/BDHIS_MINSA</v>
      </c>
      <c r="I67" s="4" t="str">
        <f>IF(OR(E67="",F67=""),IF(C67="",IF(G67="","",(CONCATENATE("sqlcmd -E -S ",B67," -d ",D67," -i ",MENU!$E$6,A67,"\",G67,".sql -o ",MENU!$B$9,G67, ".txt &amp; ",H67))),IF(G67="","",(CONCATENATE("sqlcmd -E -S ",B67,"\",C67," -d ",D67," -i ",MENU!$E$6,A67,"\",G67,".sql -o ",MENU!$B$9,G67, ".txt &amp; ",H67)))),IF(C67="",IF(G67="","",(CONCATENATE("sqlcmd -S ",B67," -d ",D67," -U ",E67," -P ",F67," -i ",MENU!$E$6,A67,"\",G67,".sql -o ",MENU!$B$9,G67, ".txt &amp; ",H67))),IF(G67="","",(CONCATENATE("sqlcmd -S ",B67,"\",C67," -d ",D67," -U ",E67," -P ",F67," -i ",MENU!$E$6,A67,"\",G67,".sql -o ",MENU!$B$9,G67, ".txt &amp; ",H67)))))</f>
        <v>sqlcmd -E -S UEIHNE01\SQLEXPRESS -d BDHIS_MINSA -i C:\HISMINSA\Scripts\ITSVIH\dbo.DimItsVihDiagnostico08_2019.Table.sql -o C:\HISMINSA\Resultados\dbo.DimItsVihDiagnostico08_2019.Table.txt &amp; @echo Script  ejecutado en la Base de datos UEIHNE01/SQLEXPRESS/BDHIS_MINSA</v>
      </c>
    </row>
    <row r="68" spans="1:9" ht="43.5" customHeight="1" thickBot="1" x14ac:dyDescent="0.25">
      <c r="A68" s="4" t="s">
        <v>78</v>
      </c>
      <c r="B68" s="4" t="str">
        <f>IF(MENU!$B$6="","INGRESE SERVIDOR",MENU!$B$6)</f>
        <v>UEIHNE01</v>
      </c>
      <c r="C68" s="13" t="str">
        <f>IF(MENU!$D$6="","",MENU!$D$6)</f>
        <v>SQLEXPRESS</v>
      </c>
      <c r="D68" s="5" t="str">
        <f>IF(MENU!$C$6="","INGRESE BASE",MENU!$C$6)</f>
        <v>BDHIS_MINSA</v>
      </c>
      <c r="E68" s="13" t="str">
        <f>IF(MENU!$C$9="","",MENU!$C$9)</f>
        <v/>
      </c>
      <c r="F68" s="13" t="str">
        <f>IF(MENU!$D$9="","",MENU!$D$9)</f>
        <v/>
      </c>
      <c r="G68" s="8" t="s">
        <v>94</v>
      </c>
      <c r="H68" s="5" t="str">
        <f t="shared" si="1"/>
        <v>@echo Script  ejecutado en la Base de datos UEIHNE01/SQLEXPRESS/BDHIS_MINSA</v>
      </c>
      <c r="I68" s="4" t="str">
        <f>IF(OR(E68="",F68=""),IF(C68="",IF(G68="","",(CONCATENATE("sqlcmd -E -S ",B68," -d ",D68," -i ",MENU!$E$6,A68,"\",G68,".sql -o ",MENU!$B$9,G68, ".txt &amp; ",H68))),IF(G68="","",(CONCATENATE("sqlcmd -E -S ",B68,"\",C68," -d ",D68," -i ",MENU!$E$6,A68,"\",G68,".sql -o ",MENU!$B$9,G68, ".txt &amp; ",H68)))),IF(C68="",IF(G68="","",(CONCATENATE("sqlcmd -S ",B68," -d ",D68," -U ",E68," -P ",F68," -i ",MENU!$E$6,A68,"\",G68,".sql -o ",MENU!$B$9,G68, ".txt &amp; ",H68))),IF(G68="","",(CONCATENATE("sqlcmd -S ",B68,"\",C68," -d ",D68," -U ",E68," -P ",F68," -i ",MENU!$E$6,A68,"\",G68,".sql -o ",MENU!$B$9,G68, ".txt &amp; ",H68)))))</f>
        <v>sqlcmd -E -S UEIHNE01\SQLEXPRESS -d BDHIS_MINSA -i C:\HISMINSA\Scripts\ITSVIH\dbo.DimItsVihDiagnostico09_2019.Table.sql -o C:\HISMINSA\Resultados\dbo.DimItsVihDiagnostico09_2019.Table.txt &amp; @echo Script  ejecutado en la Base de datos UEIHNE01/SQLEXPRESS/BDHIS_MINSA</v>
      </c>
    </row>
    <row r="69" spans="1:9" ht="43.5" customHeight="1" thickBot="1" x14ac:dyDescent="0.25">
      <c r="A69" s="4" t="s">
        <v>78</v>
      </c>
      <c r="B69" s="4" t="str">
        <f>IF(MENU!$B$6="","INGRESE SERVIDOR",MENU!$B$6)</f>
        <v>UEIHNE01</v>
      </c>
      <c r="C69" s="13" t="str">
        <f>IF(MENU!$D$6="","",MENU!$D$6)</f>
        <v>SQLEXPRESS</v>
      </c>
      <c r="D69" s="5" t="str">
        <f>IF(MENU!$C$6="","INGRESE BASE",MENU!$C$6)</f>
        <v>BDHIS_MINSA</v>
      </c>
      <c r="E69" s="13" t="str">
        <f>IF(MENU!$C$9="","",MENU!$C$9)</f>
        <v/>
      </c>
      <c r="F69" s="13" t="str">
        <f>IF(MENU!$D$9="","",MENU!$D$9)</f>
        <v/>
      </c>
      <c r="G69" s="8" t="s">
        <v>95</v>
      </c>
      <c r="H69" s="5" t="str">
        <f t="shared" si="1"/>
        <v>@echo Script  ejecutado en la Base de datos UEIHNE01/SQLEXPRESS/BDHIS_MINSA</v>
      </c>
      <c r="I69" s="4" t="str">
        <f>IF(OR(E69="",F69=""),IF(C69="",IF(G69="","",(CONCATENATE("sqlcmd -E -S ",B69," -d ",D69," -i ",MENU!$E$6,A69,"\",G69,".sql -o ",MENU!$B$9,G69, ".txt &amp; ",H69))),IF(G69="","",(CONCATENATE("sqlcmd -E -S ",B69,"\",C69," -d ",D69," -i ",MENU!$E$6,A69,"\",G69,".sql -o ",MENU!$B$9,G69, ".txt &amp; ",H69)))),IF(C69="",IF(G69="","",(CONCATENATE("sqlcmd -S ",B69," -d ",D69," -U ",E69," -P ",F69," -i ",MENU!$E$6,A69,"\",G69,".sql -o ",MENU!$B$9,G69, ".txt &amp; ",H69))),IF(G69="","",(CONCATENATE("sqlcmd -S ",B69,"\",C69," -d ",D69," -U ",E69," -P ",F69," -i ",MENU!$E$6,A69,"\",G69,".sql -o ",MENU!$B$9,G69, ".txt &amp; ",H69)))))</f>
        <v>sqlcmd -E -S UEIHNE01\SQLEXPRESS -d BDHIS_MINSA -i C:\HISMINSA\Scripts\ITSVIH\dbo.DimItsVihDiagnostico10_2019.Table.sql -o C:\HISMINSA\Resultados\dbo.DimItsVihDiagnostico10_2019.Table.txt &amp; @echo Script  ejecutado en la Base de datos UEIHNE01/SQLEXPRESS/BDHIS_MINSA</v>
      </c>
    </row>
    <row r="70" spans="1:9" ht="43.5" customHeight="1" thickBot="1" x14ac:dyDescent="0.25">
      <c r="A70" s="4" t="s">
        <v>78</v>
      </c>
      <c r="B70" s="4" t="str">
        <f>IF(MENU!$B$6="","INGRESE SERVIDOR",MENU!$B$6)</f>
        <v>UEIHNE01</v>
      </c>
      <c r="C70" s="13" t="str">
        <f>IF(MENU!$D$6="","",MENU!$D$6)</f>
        <v>SQLEXPRESS</v>
      </c>
      <c r="D70" s="5" t="str">
        <f>IF(MENU!$C$6="","INGRESE BASE",MENU!$C$6)</f>
        <v>BDHIS_MINSA</v>
      </c>
      <c r="E70" s="13" t="str">
        <f>IF(MENU!$C$9="","",MENU!$C$9)</f>
        <v/>
      </c>
      <c r="F70" s="13" t="str">
        <f>IF(MENU!$D$9="","",MENU!$D$9)</f>
        <v/>
      </c>
      <c r="G70" s="8" t="s">
        <v>96</v>
      </c>
      <c r="H70" s="5" t="str">
        <f t="shared" si="1"/>
        <v>@echo Script  ejecutado en la Base de datos UEIHNE01/SQLEXPRESS/BDHIS_MINSA</v>
      </c>
      <c r="I70" s="4" t="str">
        <f>IF(OR(E70="",F70=""),IF(C70="",IF(G70="","",(CONCATENATE("sqlcmd -E -S ",B70," -d ",D70," -i ",MENU!$E$6,A70,"\",G70,".sql -o ",MENU!$B$9,G70, ".txt &amp; ",H70))),IF(G70="","",(CONCATENATE("sqlcmd -E -S ",B70,"\",C70," -d ",D70," -i ",MENU!$E$6,A70,"\",G70,".sql -o ",MENU!$B$9,G70, ".txt &amp; ",H70)))),IF(C70="",IF(G70="","",(CONCATENATE("sqlcmd -S ",B70," -d ",D70," -U ",E70," -P ",F70," -i ",MENU!$E$6,A70,"\",G70,".sql -o ",MENU!$B$9,G70, ".txt &amp; ",H70))),IF(G70="","",(CONCATENATE("sqlcmd -S ",B70,"\",C70," -d ",D70," -U ",E70," -P ",F70," -i ",MENU!$E$6,A70,"\",G70,".sql -o ",MENU!$B$9,G70, ".txt &amp; ",H70)))))</f>
        <v>sqlcmd -E -S UEIHNE01\SQLEXPRESS -d BDHIS_MINSA -i C:\HISMINSA\Scripts\ITSVIH\dbo.DimItsVihDiagnostico11_2019.Table.sql -o C:\HISMINSA\Resultados\dbo.DimItsVihDiagnostico11_2019.Table.txt &amp; @echo Script  ejecutado en la Base de datos UEIHNE01/SQLEXPRESS/BDHIS_MINSA</v>
      </c>
    </row>
    <row r="71" spans="1:9" ht="43.5" customHeight="1" thickBot="1" x14ac:dyDescent="0.25">
      <c r="A71" s="4" t="s">
        <v>78</v>
      </c>
      <c r="B71" s="4" t="str">
        <f>IF(MENU!$B$6="","INGRESE SERVIDOR",MENU!$B$6)</f>
        <v>UEIHNE01</v>
      </c>
      <c r="C71" s="13" t="str">
        <f>IF(MENU!$D$6="","",MENU!$D$6)</f>
        <v>SQLEXPRESS</v>
      </c>
      <c r="D71" s="5" t="str">
        <f>IF(MENU!$C$6="","INGRESE BASE",MENU!$C$6)</f>
        <v>BDHIS_MINSA</v>
      </c>
      <c r="E71" s="13" t="str">
        <f>IF(MENU!$C$9="","",MENU!$C$9)</f>
        <v/>
      </c>
      <c r="F71" s="13" t="str">
        <f>IF(MENU!$D$9="","",MENU!$D$9)</f>
        <v/>
      </c>
      <c r="G71" s="8" t="s">
        <v>97</v>
      </c>
      <c r="H71" s="5" t="str">
        <f t="shared" si="1"/>
        <v>@echo Script  ejecutado en la Base de datos UEIHNE01/SQLEXPRESS/BDHIS_MINSA</v>
      </c>
      <c r="I71" s="4" t="str">
        <f>IF(OR(E71="",F71=""),IF(C71="",IF(G71="","",(CONCATENATE("sqlcmd -E -S ",B71," -d ",D71," -i ",MENU!$E$6,A71,"\",G71,".sql -o ",MENU!$B$9,G71, ".txt &amp; ",H71))),IF(G71="","",(CONCATENATE("sqlcmd -E -S ",B71,"\",C71," -d ",D71," -i ",MENU!$E$6,A71,"\",G71,".sql -o ",MENU!$B$9,G71, ".txt &amp; ",H71)))),IF(C71="",IF(G71="","",(CONCATENATE("sqlcmd -S ",B71," -d ",D71," -U ",E71," -P ",F71," -i ",MENU!$E$6,A71,"\",G71,".sql -o ",MENU!$B$9,G71, ".txt &amp; ",H71))),IF(G71="","",(CONCATENATE("sqlcmd -S ",B71,"\",C71," -d ",D71," -U ",E71," -P ",F71," -i ",MENU!$E$6,A71,"\",G71,".sql -o ",MENU!$B$9,G71, ".txt &amp; ",H71)))))</f>
        <v>sqlcmd -E -S UEIHNE01\SQLEXPRESS -d BDHIS_MINSA -i C:\HISMINSA\Scripts\ITSVIH\dbo.DimItsVihDiagnostico12_2019.Table.sql -o C:\HISMINSA\Resultados\dbo.DimItsVihDiagnostico12_2019.Table.txt &amp; @echo Script  ejecutado en la Base de datos UEIHNE01/SQLEXPRESS/BDHIS_MINSA</v>
      </c>
    </row>
    <row r="72" spans="1:9" ht="43.5" customHeight="1" thickBot="1" x14ac:dyDescent="0.25">
      <c r="A72" s="4" t="s">
        <v>78</v>
      </c>
      <c r="B72" s="4" t="str">
        <f>IF(MENU!$B$6="","INGRESE SERVIDOR",MENU!$B$6)</f>
        <v>UEIHNE01</v>
      </c>
      <c r="C72" s="13" t="str">
        <f>IF(MENU!$D$6="","",MENU!$D$6)</f>
        <v>SQLEXPRESS</v>
      </c>
      <c r="D72" s="5" t="str">
        <f>IF(MENU!$C$6="","INGRESE BASE",MENU!$C$6)</f>
        <v>BDHIS_MINSA</v>
      </c>
      <c r="E72" s="13" t="str">
        <f>IF(MENU!$C$9="","",MENU!$C$9)</f>
        <v/>
      </c>
      <c r="F72" s="13" t="str">
        <f>IF(MENU!$D$9="","",MENU!$D$9)</f>
        <v/>
      </c>
      <c r="G72" s="8" t="s">
        <v>98</v>
      </c>
      <c r="H72" s="5" t="str">
        <f t="shared" si="1"/>
        <v>@echo Script  ejecutado en la Base de datos UEIHNE01/SQLEXPRESS/BDHIS_MINSA</v>
      </c>
      <c r="I72" s="4" t="str">
        <f>IF(OR(E72="",F72=""),IF(C72="",IF(G72="","",(CONCATENATE("sqlcmd -E -S ",B72," -d ",D72," -i ",MENU!$E$6,A72,"\",G72,".sql -o ",MENU!$B$9,G72, ".txt &amp; ",H72))),IF(G72="","",(CONCATENATE("sqlcmd -E -S ",B72,"\",C72," -d ",D72," -i ",MENU!$E$6,A72,"\",G72,".sql -o ",MENU!$B$9,G72, ".txt &amp; ",H72)))),IF(C72="",IF(G72="","",(CONCATENATE("sqlcmd -S ",B72," -d ",D72," -U ",E72," -P ",F72," -i ",MENU!$E$6,A72,"\",G72,".sql -o ",MENU!$B$9,G72, ".txt &amp; ",H72))),IF(G72="","",(CONCATENATE("sqlcmd -S ",B72,"\",C72," -d ",D72," -U ",E72," -P ",F72," -i ",MENU!$E$6,A72,"\",G72,".sql -o ",MENU!$B$9,G72, ".txt &amp; ",H72)))))</f>
        <v>sqlcmd -E -S UEIHNE01\SQLEXPRESS -d BDHIS_MINSA -i C:\HISMINSA\Scripts\ITSVIH\dbo.DimItsVihDiagnostico13_2019.Table.sql -o C:\HISMINSA\Resultados\dbo.DimItsVihDiagnostico13_2019.Table.txt &amp; @echo Script  ejecutado en la Base de datos UEIHNE01/SQLEXPRESS/BDHIS_MINSA</v>
      </c>
    </row>
    <row r="73" spans="1:9" ht="43.5" customHeight="1" thickBot="1" x14ac:dyDescent="0.25">
      <c r="A73" s="4" t="s">
        <v>78</v>
      </c>
      <c r="B73" s="4" t="str">
        <f>IF(MENU!$B$6="","INGRESE SERVIDOR",MENU!$B$6)</f>
        <v>UEIHNE01</v>
      </c>
      <c r="C73" s="13" t="str">
        <f>IF(MENU!$D$6="","",MENU!$D$6)</f>
        <v>SQLEXPRESS</v>
      </c>
      <c r="D73" s="5" t="str">
        <f>IF(MENU!$C$6="","INGRESE BASE",MENU!$C$6)</f>
        <v>BDHIS_MINSA</v>
      </c>
      <c r="E73" s="13" t="str">
        <f>IF(MENU!$C$9="","",MENU!$C$9)</f>
        <v/>
      </c>
      <c r="F73" s="13" t="str">
        <f>IF(MENU!$D$9="","",MENU!$D$9)</f>
        <v/>
      </c>
      <c r="G73" s="8" t="s">
        <v>99</v>
      </c>
      <c r="H73" s="5" t="str">
        <f t="shared" si="1"/>
        <v>@echo Script  ejecutado en la Base de datos UEIHNE01/SQLEXPRESS/BDHIS_MINSA</v>
      </c>
      <c r="I73" s="4" t="str">
        <f>IF(OR(E73="",F73=""),IF(C73="",IF(G73="","",(CONCATENATE("sqlcmd -E -S ",B73," -d ",D73," -i ",MENU!$E$6,A73,"\",G73,".sql -o ",MENU!$B$9,G73, ".txt &amp; ",H73))),IF(G73="","",(CONCATENATE("sqlcmd -E -S ",B73,"\",C73," -d ",D73," -i ",MENU!$E$6,A73,"\",G73,".sql -o ",MENU!$B$9,G73, ".txt &amp; ",H73)))),IF(C73="",IF(G73="","",(CONCATENATE("sqlcmd -S ",B73," -d ",D73," -U ",E73," -P ",F73," -i ",MENU!$E$6,A73,"\",G73,".sql -o ",MENU!$B$9,G73, ".txt &amp; ",H73))),IF(G73="","",(CONCATENATE("sqlcmd -S ",B73,"\",C73," -d ",D73," -U ",E73," -P ",F73," -i ",MENU!$E$6,A73,"\",G73,".sql -o ",MENU!$B$9,G73, ".txt &amp; ",H73)))))</f>
        <v>sqlcmd -E -S UEIHNE01\SQLEXPRESS -d BDHIS_MINSA -i C:\HISMINSA\Scripts\ITSVIH\dbo.DimItsVihDiagnostico14_2019.Table.sql -o C:\HISMINSA\Resultados\dbo.DimItsVihDiagnostico14_2019.Table.txt &amp; @echo Script  ejecutado en la Base de datos UEIHNE01/SQLEXPRESS/BDHIS_MINSA</v>
      </c>
    </row>
    <row r="74" spans="1:9" ht="43.5" customHeight="1" thickBot="1" x14ac:dyDescent="0.25">
      <c r="A74" s="4" t="s">
        <v>78</v>
      </c>
      <c r="B74" s="4" t="str">
        <f>IF(MENU!$B$6="","INGRESE SERVIDOR",MENU!$B$6)</f>
        <v>UEIHNE01</v>
      </c>
      <c r="C74" s="13" t="str">
        <f>IF(MENU!$D$6="","",MENU!$D$6)</f>
        <v>SQLEXPRESS</v>
      </c>
      <c r="D74" s="5" t="str">
        <f>IF(MENU!$C$6="","INGRESE BASE",MENU!$C$6)</f>
        <v>BDHIS_MINSA</v>
      </c>
      <c r="E74" s="13" t="str">
        <f>IF(MENU!$C$9="","",MENU!$C$9)</f>
        <v/>
      </c>
      <c r="F74" s="13" t="str">
        <f>IF(MENU!$D$9="","",MENU!$D$9)</f>
        <v/>
      </c>
      <c r="G74" s="8" t="s">
        <v>100</v>
      </c>
      <c r="H74" s="5" t="str">
        <f t="shared" si="1"/>
        <v>@echo Script  ejecutado en la Base de datos UEIHNE01/SQLEXPRESS/BDHIS_MINSA</v>
      </c>
      <c r="I74" s="4" t="str">
        <f>IF(OR(E74="",F74=""),IF(C74="",IF(G74="","",(CONCATENATE("sqlcmd -E -S ",B74," -d ",D74," -i ",MENU!$E$6,A74,"\",G74,".sql -o ",MENU!$B$9,G74, ".txt &amp; ",H74))),IF(G74="","",(CONCATENATE("sqlcmd -E -S ",B74,"\",C74," -d ",D74," -i ",MENU!$E$6,A74,"\",G74,".sql -o ",MENU!$B$9,G74, ".txt &amp; ",H74)))),IF(C74="",IF(G74="","",(CONCATENATE("sqlcmd -S ",B74," -d ",D74," -U ",E74," -P ",F74," -i ",MENU!$E$6,A74,"\",G74,".sql -o ",MENU!$B$9,G74, ".txt &amp; ",H74))),IF(G74="","",(CONCATENATE("sqlcmd -S ",B74,"\",C74," -d ",D74," -U ",E74," -P ",F74," -i ",MENU!$E$6,A74,"\",G74,".sql -o ",MENU!$B$9,G74, ".txt &amp; ",H74)))))</f>
        <v>sqlcmd -E -S UEIHNE01\SQLEXPRESS -d BDHIS_MINSA -i C:\HISMINSA\Scripts\ITSVIH\dbo.DimItsVihDiagnostico15_2019.Table.sql -o C:\HISMINSA\Resultados\dbo.DimItsVihDiagnostico15_2019.Table.txt &amp; @echo Script  ejecutado en la Base de datos UEIHNE01/SQLEXPRESS/BDHIS_MINSA</v>
      </c>
    </row>
    <row r="75" spans="1:9" ht="43.5" customHeight="1" thickBot="1" x14ac:dyDescent="0.25">
      <c r="A75" s="4" t="s">
        <v>78</v>
      </c>
      <c r="B75" s="4" t="str">
        <f>IF(MENU!$B$6="","INGRESE SERVIDOR",MENU!$B$6)</f>
        <v>UEIHNE01</v>
      </c>
      <c r="C75" s="13" t="str">
        <f>IF(MENU!$D$6="","",MENU!$D$6)</f>
        <v>SQLEXPRESS</v>
      </c>
      <c r="D75" s="5" t="str">
        <f>IF(MENU!$C$6="","INGRESE BASE",MENU!$C$6)</f>
        <v>BDHIS_MINSA</v>
      </c>
      <c r="E75" s="13" t="str">
        <f>IF(MENU!$C$9="","",MENU!$C$9)</f>
        <v/>
      </c>
      <c r="F75" s="13" t="str">
        <f>IF(MENU!$D$9="","",MENU!$D$9)</f>
        <v/>
      </c>
      <c r="G75" s="8" t="s">
        <v>101</v>
      </c>
      <c r="H75" s="5" t="str">
        <f t="shared" si="1"/>
        <v>@echo Script  ejecutado en la Base de datos UEIHNE01/SQLEXPRESS/BDHIS_MINSA</v>
      </c>
      <c r="I75" s="4" t="str">
        <f>IF(OR(E75="",F75=""),IF(C75="",IF(G75="","",(CONCATENATE("sqlcmd -E -S ",B75," -d ",D75," -i ",MENU!$E$6,A75,"\",G75,".sql -o ",MENU!$B$9,G75, ".txt &amp; ",H75))),IF(G75="","",(CONCATENATE("sqlcmd -E -S ",B75,"\",C75," -d ",D75," -i ",MENU!$E$6,A75,"\",G75,".sql -o ",MENU!$B$9,G75, ".txt &amp; ",H75)))),IF(C75="",IF(G75="","",(CONCATENATE("sqlcmd -S ",B75," -d ",D75," -U ",E75," -P ",F75," -i ",MENU!$E$6,A75,"\",G75,".sql -o ",MENU!$B$9,G75, ".txt &amp; ",H75))),IF(G75="","",(CONCATENATE("sqlcmd -S ",B75,"\",C75," -d ",D75," -U ",E75," -P ",F75," -i ",MENU!$E$6,A75,"\",G75,".sql -o ",MENU!$B$9,G75, ".txt &amp; ",H75)))))</f>
        <v>sqlcmd -E -S UEIHNE01\SQLEXPRESS -d BDHIS_MINSA -i C:\HISMINSA\Scripts\ITSVIH\dbo.DimItsVihDiagnostico16_2019.Table.sql -o C:\HISMINSA\Resultados\dbo.DimItsVihDiagnostico16_2019.Table.txt &amp; @echo Script  ejecutado en la Base de datos UEIHNE01/SQLEXPRESS/BDHIS_MINSA</v>
      </c>
    </row>
    <row r="76" spans="1:9" ht="43.5" customHeight="1" thickBot="1" x14ac:dyDescent="0.25">
      <c r="A76" s="4" t="s">
        <v>78</v>
      </c>
      <c r="B76" s="4" t="str">
        <f>IF(MENU!$B$6="","INGRESE SERVIDOR",MENU!$B$6)</f>
        <v>UEIHNE01</v>
      </c>
      <c r="C76" s="13" t="str">
        <f>IF(MENU!$D$6="","",MENU!$D$6)</f>
        <v>SQLEXPRESS</v>
      </c>
      <c r="D76" s="5" t="str">
        <f>IF(MENU!$C$6="","INGRESE BASE",MENU!$C$6)</f>
        <v>BDHIS_MINSA</v>
      </c>
      <c r="E76" s="13" t="str">
        <f>IF(MENU!$C$9="","",MENU!$C$9)</f>
        <v/>
      </c>
      <c r="F76" s="13" t="str">
        <f>IF(MENU!$D$9="","",MENU!$D$9)</f>
        <v/>
      </c>
      <c r="G76" s="8" t="s">
        <v>102</v>
      </c>
      <c r="H76" s="5" t="str">
        <f t="shared" si="1"/>
        <v>@echo Script  ejecutado en la Base de datos UEIHNE01/SQLEXPRESS/BDHIS_MINSA</v>
      </c>
      <c r="I76" s="4" t="str">
        <f>IF(OR(E76="",F76=""),IF(C76="",IF(G76="","",(CONCATENATE("sqlcmd -E -S ",B76," -d ",D76," -i ",MENU!$E$6,A76,"\",G76,".sql -o ",MENU!$B$9,G76, ".txt &amp; ",H76))),IF(G76="","",(CONCATENATE("sqlcmd -E -S ",B76,"\",C76," -d ",D76," -i ",MENU!$E$6,A76,"\",G76,".sql -o ",MENU!$B$9,G76, ".txt &amp; ",H76)))),IF(C76="",IF(G76="","",(CONCATENATE("sqlcmd -S ",B76," -d ",D76," -U ",E76," -P ",F76," -i ",MENU!$E$6,A76,"\",G76,".sql -o ",MENU!$B$9,G76, ".txt &amp; ",H76))),IF(G76="","",(CONCATENATE("sqlcmd -S ",B76,"\",C76," -d ",D76," -U ",E76," -P ",F76," -i ",MENU!$E$6,A76,"\",G76,".sql -o ",MENU!$B$9,G76, ".txt &amp; ",H76)))))</f>
        <v>sqlcmd -E -S UEIHNE01\SQLEXPRESS -d BDHIS_MINSA -i C:\HISMINSA\Scripts\ITSVIH\dbo.DimItsVihDiagnostico17_2019.Table.sql -o C:\HISMINSA\Resultados\dbo.DimItsVihDiagnostico17_2019.Table.txt &amp; @echo Script  ejecutado en la Base de datos UEIHNE01/SQLEXPRESS/BDHIS_MINSA</v>
      </c>
    </row>
    <row r="77" spans="1:9" ht="43.5" customHeight="1" thickBot="1" x14ac:dyDescent="0.25">
      <c r="A77" s="4" t="s">
        <v>78</v>
      </c>
      <c r="B77" s="4" t="str">
        <f>IF(MENU!$B$6="","INGRESE SERVIDOR",MENU!$B$6)</f>
        <v>UEIHNE01</v>
      </c>
      <c r="C77" s="13" t="str">
        <f>IF(MENU!$D$6="","",MENU!$D$6)</f>
        <v>SQLEXPRESS</v>
      </c>
      <c r="D77" s="5" t="str">
        <f>IF(MENU!$C$6="","INGRESE BASE",MENU!$C$6)</f>
        <v>BDHIS_MINSA</v>
      </c>
      <c r="E77" s="13" t="str">
        <f>IF(MENU!$C$9="","",MENU!$C$9)</f>
        <v/>
      </c>
      <c r="F77" s="13" t="str">
        <f>IF(MENU!$D$9="","",MENU!$D$9)</f>
        <v/>
      </c>
      <c r="G77" s="8" t="s">
        <v>103</v>
      </c>
      <c r="H77" s="5" t="str">
        <f t="shared" si="1"/>
        <v>@echo Script  ejecutado en la Base de datos UEIHNE01/SQLEXPRESS/BDHIS_MINSA</v>
      </c>
      <c r="I77" s="4" t="str">
        <f>IF(OR(E77="",F77=""),IF(C77="",IF(G77="","",(CONCATENATE("sqlcmd -E -S ",B77," -d ",D77," -i ",MENU!$E$6,A77,"\",G77,".sql -o ",MENU!$B$9,G77, ".txt &amp; ",H77))),IF(G77="","",(CONCATENATE("sqlcmd -E -S ",B77,"\",C77," -d ",D77," -i ",MENU!$E$6,A77,"\",G77,".sql -o ",MENU!$B$9,G77, ".txt &amp; ",H77)))),IF(C77="",IF(G77="","",(CONCATENATE("sqlcmd -S ",B77," -d ",D77," -U ",E77," -P ",F77," -i ",MENU!$E$6,A77,"\",G77,".sql -o ",MENU!$B$9,G77, ".txt &amp; ",H77))),IF(G77="","",(CONCATENATE("sqlcmd -S ",B77,"\",C77," -d ",D77," -U ",E77," -P ",F77," -i ",MENU!$E$6,A77,"\",G77,".sql -o ",MENU!$B$9,G77, ".txt &amp; ",H77)))))</f>
        <v>sqlcmd -E -S UEIHNE01\SQLEXPRESS -d BDHIS_MINSA -i C:\HISMINSA\Scripts\ITSVIH\dbo.DimItsVihDiagnostico18_2019.Table.sql -o C:\HISMINSA\Resultados\dbo.DimItsVihDiagnostico18_2019.Table.txt &amp; @echo Script  ejecutado en la Base de datos UEIHNE01/SQLEXPRESS/BDHIS_MINSA</v>
      </c>
    </row>
    <row r="78" spans="1:9" ht="43.5" customHeight="1" thickBot="1" x14ac:dyDescent="0.25">
      <c r="A78" s="4" t="s">
        <v>78</v>
      </c>
      <c r="B78" s="4" t="str">
        <f>IF(MENU!$B$6="","INGRESE SERVIDOR",MENU!$B$6)</f>
        <v>UEIHNE01</v>
      </c>
      <c r="C78" s="13" t="str">
        <f>IF(MENU!$D$6="","",MENU!$D$6)</f>
        <v>SQLEXPRESS</v>
      </c>
      <c r="D78" s="5" t="str">
        <f>IF(MENU!$C$6="","INGRESE BASE",MENU!$C$6)</f>
        <v>BDHIS_MINSA</v>
      </c>
      <c r="E78" s="13" t="str">
        <f>IF(MENU!$C$9="","",MENU!$C$9)</f>
        <v/>
      </c>
      <c r="F78" s="13" t="str">
        <f>IF(MENU!$D$9="","",MENU!$D$9)</f>
        <v/>
      </c>
      <c r="G78" s="8" t="s">
        <v>104</v>
      </c>
      <c r="H78" s="5" t="str">
        <f t="shared" si="1"/>
        <v>@echo Script  ejecutado en la Base de datos UEIHNE01/SQLEXPRESS/BDHIS_MINSA</v>
      </c>
      <c r="I78" s="4" t="str">
        <f>IF(OR(E78="",F78=""),IF(C78="",IF(G78="","",(CONCATENATE("sqlcmd -E -S ",B78," -d ",D78," -i ",MENU!$E$6,A78,"\",G78,".sql -o ",MENU!$B$9,G78, ".txt &amp; ",H78))),IF(G78="","",(CONCATENATE("sqlcmd -E -S ",B78,"\",C78," -d ",D78," -i ",MENU!$E$6,A78,"\",G78,".sql -o ",MENU!$B$9,G78, ".txt &amp; ",H78)))),IF(C78="",IF(G78="","",(CONCATENATE("sqlcmd -S ",B78," -d ",D78," -U ",E78," -P ",F78," -i ",MENU!$E$6,A78,"\",G78,".sql -o ",MENU!$B$9,G78, ".txt &amp; ",H78))),IF(G78="","",(CONCATENATE("sqlcmd -S ",B78,"\",C78," -d ",D78," -U ",E78," -P ",F78," -i ",MENU!$E$6,A78,"\",G78,".sql -o ",MENU!$B$9,G78, ".txt &amp; ",H78)))))</f>
        <v>sqlcmd -E -S UEIHNE01\SQLEXPRESS -d BDHIS_MINSA -i C:\HISMINSA\Scripts\ITSVIH\dbo.DimItsVihDiagnostico19_2019.Table.sql -o C:\HISMINSA\Resultados\dbo.DimItsVihDiagnostico19_2019.Table.txt &amp; @echo Script  ejecutado en la Base de datos UEIHNE01/SQLEXPRESS/BDHIS_MINSA</v>
      </c>
    </row>
    <row r="79" spans="1:9" ht="43.5" customHeight="1" thickBot="1" x14ac:dyDescent="0.25">
      <c r="A79" s="4" t="s">
        <v>78</v>
      </c>
      <c r="B79" s="4" t="str">
        <f>IF(MENU!$B$6="","INGRESE SERVIDOR",MENU!$B$6)</f>
        <v>UEIHNE01</v>
      </c>
      <c r="C79" s="13" t="str">
        <f>IF(MENU!$D$6="","",MENU!$D$6)</f>
        <v>SQLEXPRESS</v>
      </c>
      <c r="D79" s="5" t="str">
        <f>IF(MENU!$C$6="","INGRESE BASE",MENU!$C$6)</f>
        <v>BDHIS_MINSA</v>
      </c>
      <c r="E79" s="13" t="str">
        <f>IF(MENU!$C$9="","",MENU!$C$9)</f>
        <v/>
      </c>
      <c r="F79" s="13" t="str">
        <f>IF(MENU!$D$9="","",MENU!$D$9)</f>
        <v/>
      </c>
      <c r="G79" s="8" t="s">
        <v>105</v>
      </c>
      <c r="H79" s="5" t="str">
        <f t="shared" si="1"/>
        <v>@echo Script  ejecutado en la Base de datos UEIHNE01/SQLEXPRESS/BDHIS_MINSA</v>
      </c>
      <c r="I79" s="4" t="str">
        <f>IF(OR(E79="",F79=""),IF(C79="",IF(G79="","",(CONCATENATE("sqlcmd -E -S ",B79," -d ",D79," -i ",MENU!$E$6,A79,"\",G79,".sql -o ",MENU!$B$9,G79, ".txt &amp; ",H79))),IF(G79="","",(CONCATENATE("sqlcmd -E -S ",B79,"\",C79," -d ",D79," -i ",MENU!$E$6,A79,"\",G79,".sql -o ",MENU!$B$9,G79, ".txt &amp; ",H79)))),IF(C79="",IF(G79="","",(CONCATENATE("sqlcmd -S ",B79," -d ",D79," -U ",E79," -P ",F79," -i ",MENU!$E$6,A79,"\",G79,".sql -o ",MENU!$B$9,G79, ".txt &amp; ",H79))),IF(G79="","",(CONCATENATE("sqlcmd -S ",B79,"\",C79," -d ",D79," -U ",E79," -P ",F79," -i ",MENU!$E$6,A79,"\",G79,".sql -o ",MENU!$B$9,G79, ".txt &amp; ",H79)))))</f>
        <v>sqlcmd -E -S UEIHNE01\SQLEXPRESS -d BDHIS_MINSA -i C:\HISMINSA\Scripts\ITSVIH\dbo.DimItsVihDiagnostico20_2019.Table.sql -o C:\HISMINSA\Resultados\dbo.DimItsVihDiagnostico20_2019.Table.txt &amp; @echo Script  ejecutado en la Base de datos UEIHNE01/SQLEXPRESS/BDHIS_MINSA</v>
      </c>
    </row>
    <row r="80" spans="1:9" ht="43.5" customHeight="1" thickBot="1" x14ac:dyDescent="0.25">
      <c r="A80" s="4" t="s">
        <v>78</v>
      </c>
      <c r="B80" s="4" t="str">
        <f>IF(MENU!$B$6="","INGRESE SERVIDOR",MENU!$B$6)</f>
        <v>UEIHNE01</v>
      </c>
      <c r="C80" s="13" t="str">
        <f>IF(MENU!$D$6="","",MENU!$D$6)</f>
        <v>SQLEXPRESS</v>
      </c>
      <c r="D80" s="5" t="str">
        <f>IF(MENU!$C$6="","INGRESE BASE",MENU!$C$6)</f>
        <v>BDHIS_MINSA</v>
      </c>
      <c r="E80" s="13" t="str">
        <f>IF(MENU!$C$9="","",MENU!$C$9)</f>
        <v/>
      </c>
      <c r="F80" s="13" t="str">
        <f>IF(MENU!$D$9="","",MENU!$D$9)</f>
        <v/>
      </c>
      <c r="G80" s="8" t="s">
        <v>106</v>
      </c>
      <c r="H80" s="5" t="str">
        <f t="shared" si="1"/>
        <v>@echo Script  ejecutado en la Base de datos UEIHNE01/SQLEXPRESS/BDHIS_MINSA</v>
      </c>
      <c r="I80" s="4" t="str">
        <f>IF(OR(E80="",F80=""),IF(C80="",IF(G80="","",(CONCATENATE("sqlcmd -E -S ",B80," -d ",D80," -i ",MENU!$E$6,A80,"\",G80,".sql -o ",MENU!$B$9,G80, ".txt &amp; ",H80))),IF(G80="","",(CONCATENATE("sqlcmd -E -S ",B80,"\",C80," -d ",D80," -i ",MENU!$E$6,A80,"\",G80,".sql -o ",MENU!$B$9,G80, ".txt &amp; ",H80)))),IF(C80="",IF(G80="","",(CONCATENATE("sqlcmd -S ",B80," -d ",D80," -U ",E80," -P ",F80," -i ",MENU!$E$6,A80,"\",G80,".sql -o ",MENU!$B$9,G80, ".txt &amp; ",H80))),IF(G80="","",(CONCATENATE("sqlcmd -S ",B80,"\",C80," -d ",D80," -U ",E80," -P ",F80," -i ",MENU!$E$6,A80,"\",G80,".sql -o ",MENU!$B$9,G80, ".txt &amp; ",H80)))))</f>
        <v>sqlcmd -E -S UEIHNE01\SQLEXPRESS -d BDHIS_MINSA -i C:\HISMINSA\Scripts\ITSVIH\dbo.DimItsVihDiagnostico21_2019.Table.sql -o C:\HISMINSA\Resultados\dbo.DimItsVihDiagnostico21_2019.Table.txt &amp; @echo Script  ejecutado en la Base de datos UEIHNE01/SQLEXPRESS/BDHIS_MINSA</v>
      </c>
    </row>
    <row r="81" spans="1:9" ht="43.5" customHeight="1" thickBot="1" x14ac:dyDescent="0.25">
      <c r="A81" s="4" t="s">
        <v>78</v>
      </c>
      <c r="B81" s="4" t="str">
        <f>IF(MENU!$B$6="","INGRESE SERVIDOR",MENU!$B$6)</f>
        <v>UEIHNE01</v>
      </c>
      <c r="C81" s="13" t="str">
        <f>IF(MENU!$D$6="","",MENU!$D$6)</f>
        <v>SQLEXPRESS</v>
      </c>
      <c r="D81" s="5" t="str">
        <f>IF(MENU!$C$6="","INGRESE BASE",MENU!$C$6)</f>
        <v>BDHIS_MINSA</v>
      </c>
      <c r="E81" s="13" t="str">
        <f>IF(MENU!$C$9="","",MENU!$C$9)</f>
        <v/>
      </c>
      <c r="F81" s="13" t="str">
        <f>IF(MENU!$D$9="","",MENU!$D$9)</f>
        <v/>
      </c>
      <c r="G81" s="8" t="s">
        <v>107</v>
      </c>
      <c r="H81" s="5" t="str">
        <f t="shared" si="1"/>
        <v>@echo Script  ejecutado en la Base de datos UEIHNE01/SQLEXPRESS/BDHIS_MINSA</v>
      </c>
      <c r="I81" s="4" t="str">
        <f>IF(OR(E81="",F81=""),IF(C81="",IF(G81="","",(CONCATENATE("sqlcmd -E -S ",B81," -d ",D81," -i ",MENU!$E$6,A81,"\",G81,".sql -o ",MENU!$B$9,G81, ".txt &amp; ",H81))),IF(G81="","",(CONCATENATE("sqlcmd -E -S ",B81,"\",C81," -d ",D81," -i ",MENU!$E$6,A81,"\",G81,".sql -o ",MENU!$B$9,G81, ".txt &amp; ",H81)))),IF(C81="",IF(G81="","",(CONCATENATE("sqlcmd -S ",B81," -d ",D81," -U ",E81," -P ",F81," -i ",MENU!$E$6,A81,"\",G81,".sql -o ",MENU!$B$9,G81, ".txt &amp; ",H81))),IF(G81="","",(CONCATENATE("sqlcmd -S ",B81,"\",C81," -d ",D81," -U ",E81," -P ",F81," -i ",MENU!$E$6,A81,"\",G81,".sql -o ",MENU!$B$9,G81, ".txt &amp; ",H81)))))</f>
        <v>sqlcmd -E -S UEIHNE01\SQLEXPRESS -d BDHIS_MINSA -i C:\HISMINSA\Scripts\ITSVIH\dbo.DimItsVihDiagnostico22_2019.Table.sql -o C:\HISMINSA\Resultados\dbo.DimItsVihDiagnostico22_2019.Table.txt &amp; @echo Script  ejecutado en la Base de datos UEIHNE01/SQLEXPRESS/BDHIS_MINSA</v>
      </c>
    </row>
    <row r="82" spans="1:9" ht="43.5" customHeight="1" thickBot="1" x14ac:dyDescent="0.25">
      <c r="A82" s="4" t="s">
        <v>78</v>
      </c>
      <c r="B82" s="4" t="str">
        <f>IF(MENU!$B$6="","INGRESE SERVIDOR",MENU!$B$6)</f>
        <v>UEIHNE01</v>
      </c>
      <c r="C82" s="13" t="str">
        <f>IF(MENU!$D$6="","",MENU!$D$6)</f>
        <v>SQLEXPRESS</v>
      </c>
      <c r="D82" s="5" t="str">
        <f>IF(MENU!$C$6="","INGRESE BASE",MENU!$C$6)</f>
        <v>BDHIS_MINSA</v>
      </c>
      <c r="E82" s="13" t="str">
        <f>IF(MENU!$C$9="","",MENU!$C$9)</f>
        <v/>
      </c>
      <c r="F82" s="13" t="str">
        <f>IF(MENU!$D$9="","",MENU!$D$9)</f>
        <v/>
      </c>
      <c r="G82" s="8" t="s">
        <v>108</v>
      </c>
      <c r="H82" s="5" t="str">
        <f t="shared" si="1"/>
        <v>@echo Script  ejecutado en la Base de datos UEIHNE01/SQLEXPRESS/BDHIS_MINSA</v>
      </c>
      <c r="I82" s="4" t="str">
        <f>IF(OR(E82="",F82=""),IF(C82="",IF(G82="","",(CONCATENATE("sqlcmd -E -S ",B82," -d ",D82," -i ",MENU!$E$6,A82,"\",G82,".sql -o ",MENU!$B$9,G82, ".txt &amp; ",H82))),IF(G82="","",(CONCATENATE("sqlcmd -E -S ",B82,"\",C82," -d ",D82," -i ",MENU!$E$6,A82,"\",G82,".sql -o ",MENU!$B$9,G82, ".txt &amp; ",H82)))),IF(C82="",IF(G82="","",(CONCATENATE("sqlcmd -S ",B82," -d ",D82," -U ",E82," -P ",F82," -i ",MENU!$E$6,A82,"\",G82,".sql -o ",MENU!$B$9,G82, ".txt &amp; ",H82))),IF(G82="","",(CONCATENATE("sqlcmd -S ",B82,"\",C82," -d ",D82," -U ",E82," -P ",F82," -i ",MENU!$E$6,A82,"\",G82,".sql -o ",MENU!$B$9,G82, ".txt &amp; ",H82)))))</f>
        <v>sqlcmd -E -S UEIHNE01\SQLEXPRESS -d BDHIS_MINSA -i C:\HISMINSA\Scripts\ITSVIH\dbo.DimItsVihDiagnostico23_2019.Table.sql -o C:\HISMINSA\Resultados\dbo.DimItsVihDiagnostico23_2019.Table.txt &amp; @echo Script  ejecutado en la Base de datos UEIHNE01/SQLEXPRESS/BDHIS_MINSA</v>
      </c>
    </row>
    <row r="83" spans="1:9" ht="43.5" customHeight="1" thickBot="1" x14ac:dyDescent="0.25">
      <c r="A83" s="4" t="s">
        <v>78</v>
      </c>
      <c r="B83" s="4" t="str">
        <f>IF(MENU!$B$6="","INGRESE SERVIDOR",MENU!$B$6)</f>
        <v>UEIHNE01</v>
      </c>
      <c r="C83" s="13" t="str">
        <f>IF(MENU!$D$6="","",MENU!$D$6)</f>
        <v>SQLEXPRESS</v>
      </c>
      <c r="D83" s="5" t="str">
        <f>IF(MENU!$C$6="","INGRESE BASE",MENU!$C$6)</f>
        <v>BDHIS_MINSA</v>
      </c>
      <c r="E83" s="13" t="str">
        <f>IF(MENU!$C$9="","",MENU!$C$9)</f>
        <v/>
      </c>
      <c r="F83" s="13" t="str">
        <f>IF(MENU!$D$9="","",MENU!$D$9)</f>
        <v/>
      </c>
      <c r="G83" s="8" t="s">
        <v>109</v>
      </c>
      <c r="H83" s="5" t="str">
        <f t="shared" si="1"/>
        <v>@echo Script  ejecutado en la Base de datos UEIHNE01/SQLEXPRESS/BDHIS_MINSA</v>
      </c>
      <c r="I83" s="4" t="str">
        <f>IF(OR(E83="",F83=""),IF(C83="",IF(G83="","",(CONCATENATE("sqlcmd -E -S ",B83," -d ",D83," -i ",MENU!$E$6,A83,"\",G83,".sql -o ",MENU!$B$9,G83, ".txt &amp; ",H83))),IF(G83="","",(CONCATENATE("sqlcmd -E -S ",B83,"\",C83," -d ",D83," -i ",MENU!$E$6,A83,"\",G83,".sql -o ",MENU!$B$9,G83, ".txt &amp; ",H83)))),IF(C83="",IF(G83="","",(CONCATENATE("sqlcmd -S ",B83," -d ",D83," -U ",E83," -P ",F83," -i ",MENU!$E$6,A83,"\",G83,".sql -o ",MENU!$B$9,G83, ".txt &amp; ",H83))),IF(G83="","",(CONCATENATE("sqlcmd -S ",B83,"\",C83," -d ",D83," -U ",E83," -P ",F83," -i ",MENU!$E$6,A83,"\",G83,".sql -o ",MENU!$B$9,G83, ".txt &amp; ",H83)))))</f>
        <v>sqlcmd -E -S UEIHNE01\SQLEXPRESS -d BDHIS_MINSA -i C:\HISMINSA\Scripts\ITSVIH\dbo.DimItsVihDiagnostico24_2019.Table.sql -o C:\HISMINSA\Resultados\dbo.DimItsVihDiagnostico24_2019.Table.txt &amp; @echo Script  ejecutado en la Base de datos UEIHNE01/SQLEXPRESS/BDHIS_MINSA</v>
      </c>
    </row>
    <row r="84" spans="1:9" ht="43.5" customHeight="1" thickBot="1" x14ac:dyDescent="0.25">
      <c r="A84" s="4" t="s">
        <v>78</v>
      </c>
      <c r="B84" s="4" t="str">
        <f>IF(MENU!$B$6="","INGRESE SERVIDOR",MENU!$B$6)</f>
        <v>UEIHNE01</v>
      </c>
      <c r="C84" s="13" t="str">
        <f>IF(MENU!$D$6="","",MENU!$D$6)</f>
        <v>SQLEXPRESS</v>
      </c>
      <c r="D84" s="5" t="str">
        <f>IF(MENU!$C$6="","INGRESE BASE",MENU!$C$6)</f>
        <v>BDHIS_MINSA</v>
      </c>
      <c r="E84" s="13" t="str">
        <f>IF(MENU!$C$9="","",MENU!$C$9)</f>
        <v/>
      </c>
      <c r="F84" s="13" t="str">
        <f>IF(MENU!$D$9="","",MENU!$D$9)</f>
        <v/>
      </c>
      <c r="G84" s="8" t="s">
        <v>110</v>
      </c>
      <c r="H84" s="5" t="str">
        <f t="shared" si="1"/>
        <v>@echo Script  ejecutado en la Base de datos UEIHNE01/SQLEXPRESS/BDHIS_MINSA</v>
      </c>
      <c r="I84" s="4" t="str">
        <f>IF(OR(E84="",F84=""),IF(C84="",IF(G84="","",(CONCATENATE("sqlcmd -E -S ",B84," -d ",D84," -i ",MENU!$E$6,A84,"\",G84,".sql -o ",MENU!$B$9,G84, ".txt &amp; ",H84))),IF(G84="","",(CONCATENATE("sqlcmd -E -S ",B84,"\",C84," -d ",D84," -i ",MENU!$E$6,A84,"\",G84,".sql -o ",MENU!$B$9,G84, ".txt &amp; ",H84)))),IF(C84="",IF(G84="","",(CONCATENATE("sqlcmd -S ",B84," -d ",D84," -U ",E84," -P ",F84," -i ",MENU!$E$6,A84,"\",G84,".sql -o ",MENU!$B$9,G84, ".txt &amp; ",H84))),IF(G84="","",(CONCATENATE("sqlcmd -S ",B84,"\",C84," -d ",D84," -U ",E84," -P ",F84," -i ",MENU!$E$6,A84,"\",G84,".sql -o ",MENU!$B$9,G84, ".txt &amp; ",H84)))))</f>
        <v>sqlcmd -E -S UEIHNE01\SQLEXPRESS -d BDHIS_MINSA -i C:\HISMINSA\Scripts\ITSVIH\dbo.DimItsVihDiagnostico25_2019.Table.sql -o C:\HISMINSA\Resultados\dbo.DimItsVihDiagnostico25_2019.Table.txt &amp; @echo Script  ejecutado en la Base de datos UEIHNE01/SQLEXPRESS/BDHIS_MINSA</v>
      </c>
    </row>
    <row r="85" spans="1:9" ht="43.5" customHeight="1" thickBot="1" x14ac:dyDescent="0.25">
      <c r="A85" s="4" t="s">
        <v>78</v>
      </c>
      <c r="B85" s="4" t="str">
        <f>IF(MENU!$B$6="","INGRESE SERVIDOR",MENU!$B$6)</f>
        <v>UEIHNE01</v>
      </c>
      <c r="C85" s="13" t="str">
        <f>IF(MENU!$D$6="","",MENU!$D$6)</f>
        <v>SQLEXPRESS</v>
      </c>
      <c r="D85" s="5" t="str">
        <f>IF(MENU!$C$6="","INGRESE BASE",MENU!$C$6)</f>
        <v>BDHIS_MINSA</v>
      </c>
      <c r="E85" s="13" t="str">
        <f>IF(MENU!$C$9="","",MENU!$C$9)</f>
        <v/>
      </c>
      <c r="F85" s="13" t="str">
        <f>IF(MENU!$D$9="","",MENU!$D$9)</f>
        <v/>
      </c>
      <c r="G85" s="8" t="s">
        <v>111</v>
      </c>
      <c r="H85" s="5" t="str">
        <f t="shared" si="1"/>
        <v>@echo Script  ejecutado en la Base de datos UEIHNE01/SQLEXPRESS/BDHIS_MINSA</v>
      </c>
      <c r="I85" s="4" t="str">
        <f>IF(OR(E85="",F85=""),IF(C85="",IF(G85="","",(CONCATENATE("sqlcmd -E -S ",B85," -d ",D85," -i ",MENU!$E$6,A85,"\",G85,".sql -o ",MENU!$B$9,G85, ".txt &amp; ",H85))),IF(G85="","",(CONCATENATE("sqlcmd -E -S ",B85,"\",C85," -d ",D85," -i ",MENU!$E$6,A85,"\",G85,".sql -o ",MENU!$B$9,G85, ".txt &amp; ",H85)))),IF(C85="",IF(G85="","",(CONCATENATE("sqlcmd -S ",B85," -d ",D85," -U ",E85," -P ",F85," -i ",MENU!$E$6,A85,"\",G85,".sql -o ",MENU!$B$9,G85, ".txt &amp; ",H85))),IF(G85="","",(CONCATENATE("sqlcmd -S ",B85,"\",C85," -d ",D85," -U ",E85," -P ",F85," -i ",MENU!$E$6,A85,"\",G85,".sql -o ",MENU!$B$9,G85, ".txt &amp; ",H85)))))</f>
        <v>sqlcmd -E -S UEIHNE01\SQLEXPRESS -d BDHIS_MINSA -i C:\HISMINSA\Scripts\ITSVIH\dbo.DimItsVihDiagnostico26_2019.Table.sql -o C:\HISMINSA\Resultados\dbo.DimItsVihDiagnostico26_2019.Table.txt &amp; @echo Script  ejecutado en la Base de datos UEIHNE01/SQLEXPRESS/BDHIS_MINSA</v>
      </c>
    </row>
    <row r="86" spans="1:9" ht="43.5" customHeight="1" thickBot="1" x14ac:dyDescent="0.25">
      <c r="A86" s="4" t="s">
        <v>78</v>
      </c>
      <c r="B86" s="4" t="str">
        <f>IF(MENU!$B$6="","INGRESE SERVIDOR",MENU!$B$6)</f>
        <v>UEIHNE01</v>
      </c>
      <c r="C86" s="13" t="str">
        <f>IF(MENU!$D$6="","",MENU!$D$6)</f>
        <v>SQLEXPRESS</v>
      </c>
      <c r="D86" s="5" t="str">
        <f>IF(MENU!$C$6="","INGRESE BASE",MENU!$C$6)</f>
        <v>BDHIS_MINSA</v>
      </c>
      <c r="E86" s="13" t="str">
        <f>IF(MENU!$C$9="","",MENU!$C$9)</f>
        <v/>
      </c>
      <c r="F86" s="13" t="str">
        <f>IF(MENU!$D$9="","",MENU!$D$9)</f>
        <v/>
      </c>
      <c r="G86" s="8" t="s">
        <v>113</v>
      </c>
      <c r="H86" s="5" t="str">
        <f t="shared" si="1"/>
        <v>@echo Script  ejecutado en la Base de datos UEIHNE01/SQLEXPRESS/BDHIS_MINSA</v>
      </c>
      <c r="I86" s="4" t="str">
        <f>IF(OR(E86="",F86=""),IF(C86="",IF(G86="","",(CONCATENATE("sqlcmd -E -S ",B86," -d ",D86," -i ",MENU!$E$6,A86,"\",G86,".sql -o ",MENU!$B$9,G86, ".txt &amp; ",H86))),IF(G86="","",(CONCATENATE("sqlcmd -E -S ",B86,"\",C86," -d ",D86," -i ",MENU!$E$6,A86,"\",G86,".sql -o ",MENU!$B$9,G86, ".txt &amp; ",H86)))),IF(C86="",IF(G86="","",(CONCATENATE("sqlcmd -S ",B86," -d ",D86," -U ",E86," -P ",F86," -i ",MENU!$E$6,A86,"\",G86,".sql -o ",MENU!$B$9,G86, ".txt &amp; ",H86))),IF(G86="","",(CONCATENATE("sqlcmd -S ",B86,"\",C86," -d ",D86," -U ",E86," -P ",F86," -i ",MENU!$E$6,A86,"\",G86,".sql -o ",MENU!$B$9,G86, ".txt &amp; ",H86)))))</f>
        <v>sqlcmd -E -S UEIHNE01\SQLEXPRESS -d BDHIS_MINSA -i C:\HISMINSA\Scripts\ITSVIH\dbo.DimItsVihGrupo10_2019.Table.sql -o C:\HISMINSA\Resultados\dbo.DimItsVihGrupo10_2019.Table.txt &amp; @echo Script  ejecutado en la Base de datos UEIHNE01/SQLEXPRESS/BDHIS_MINSA</v>
      </c>
    </row>
    <row r="87" spans="1:9" ht="43.5" customHeight="1" thickBot="1" x14ac:dyDescent="0.25">
      <c r="A87" s="4" t="s">
        <v>78</v>
      </c>
      <c r="B87" s="4" t="str">
        <f>IF(MENU!$B$6="","INGRESE SERVIDOR",MENU!$B$6)</f>
        <v>UEIHNE01</v>
      </c>
      <c r="C87" s="13" t="str">
        <f>IF(MENU!$D$6="","",MENU!$D$6)</f>
        <v>SQLEXPRESS</v>
      </c>
      <c r="D87" s="5" t="str">
        <f>IF(MENU!$C$6="","INGRESE BASE",MENU!$C$6)</f>
        <v>BDHIS_MINSA</v>
      </c>
      <c r="E87" s="13" t="str">
        <f>IF(MENU!$C$9="","",MENU!$C$9)</f>
        <v/>
      </c>
      <c r="F87" s="13" t="str">
        <f>IF(MENU!$D$9="","",MENU!$D$9)</f>
        <v/>
      </c>
      <c r="G87" s="8" t="s">
        <v>114</v>
      </c>
      <c r="H87" s="5" t="str">
        <f t="shared" si="1"/>
        <v>@echo Script  ejecutado en la Base de datos UEIHNE01/SQLEXPRESS/BDHIS_MINSA</v>
      </c>
      <c r="I87" s="4" t="str">
        <f>IF(OR(E87="",F87=""),IF(C87="",IF(G87="","",(CONCATENATE("sqlcmd -E -S ",B87," -d ",D87," -i ",MENU!$E$6,A87,"\",G87,".sql -o ",MENU!$B$9,G87, ".txt &amp; ",H87))),IF(G87="","",(CONCATENATE("sqlcmd -E -S ",B87,"\",C87," -d ",D87," -i ",MENU!$E$6,A87,"\",G87,".sql -o ",MENU!$B$9,G87, ".txt &amp; ",H87)))),IF(C87="",IF(G87="","",(CONCATENATE("sqlcmd -S ",B87," -d ",D87," -U ",E87," -P ",F87," -i ",MENU!$E$6,A87,"\",G87,".sql -o ",MENU!$B$9,G87, ".txt &amp; ",H87))),IF(G87="","",(CONCATENATE("sqlcmd -S ",B87,"\",C87," -d ",D87," -U ",E87," -P ",F87," -i ",MENU!$E$6,A87,"\",G87,".sql -o ",MENU!$B$9,G87, ".txt &amp; ",H87)))))</f>
        <v>sqlcmd -E -S UEIHNE01\SQLEXPRESS -d BDHIS_MINSA -i C:\HISMINSA\Scripts\ITSVIH\dbo.DimItsVihGrupo11_2019.Table.sql -o C:\HISMINSA\Resultados\dbo.DimItsVihGrupo11_2019.Table.txt &amp; @echo Script  ejecutado en la Base de datos UEIHNE01/SQLEXPRESS/BDHIS_MINSA</v>
      </c>
    </row>
    <row r="88" spans="1:9" ht="43.5" customHeight="1" thickBot="1" x14ac:dyDescent="0.25">
      <c r="A88" s="4" t="s">
        <v>78</v>
      </c>
      <c r="B88" s="4" t="str">
        <f>IF(MENU!$B$6="","INGRESE SERVIDOR",MENU!$B$6)</f>
        <v>UEIHNE01</v>
      </c>
      <c r="C88" s="13" t="str">
        <f>IF(MENU!$D$6="","",MENU!$D$6)</f>
        <v>SQLEXPRESS</v>
      </c>
      <c r="D88" s="5" t="str">
        <f>IF(MENU!$C$6="","INGRESE BASE",MENU!$C$6)</f>
        <v>BDHIS_MINSA</v>
      </c>
      <c r="E88" s="13" t="str">
        <f>IF(MENU!$C$9="","",MENU!$C$9)</f>
        <v/>
      </c>
      <c r="F88" s="13" t="str">
        <f>IF(MENU!$D$9="","",MENU!$D$9)</f>
        <v/>
      </c>
      <c r="G88" s="8" t="s">
        <v>115</v>
      </c>
      <c r="H88" s="5" t="str">
        <f t="shared" si="1"/>
        <v>@echo Script  ejecutado en la Base de datos UEIHNE01/SQLEXPRESS/BDHIS_MINSA</v>
      </c>
      <c r="I88" s="4" t="str">
        <f>IF(OR(E88="",F88=""),IF(C88="",IF(G88="","",(CONCATENATE("sqlcmd -E -S ",B88," -d ",D88," -i ",MENU!$E$6,A88,"\",G88,".sql -o ",MENU!$B$9,G88, ".txt &amp; ",H88))),IF(G88="","",(CONCATENATE("sqlcmd -E -S ",B88,"\",C88," -d ",D88," -i ",MENU!$E$6,A88,"\",G88,".sql -o ",MENU!$B$9,G88, ".txt &amp; ",H88)))),IF(C88="",IF(G88="","",(CONCATENATE("sqlcmd -S ",B88," -d ",D88," -U ",E88," -P ",F88," -i ",MENU!$E$6,A88,"\",G88,".sql -o ",MENU!$B$9,G88, ".txt &amp; ",H88))),IF(G88="","",(CONCATENATE("sqlcmd -S ",B88,"\",C88," -d ",D88," -U ",E88," -P ",F88," -i ",MENU!$E$6,A88,"\",G88,".sql -o ",MENU!$B$9,G88, ".txt &amp; ",H88)))))</f>
        <v>sqlcmd -E -S UEIHNE01\SQLEXPRESS -d BDHIS_MINSA -i C:\HISMINSA\Scripts\ITSVIH\dbo.DimItsVihGrupo12_2019.Table.sql -o C:\HISMINSA\Resultados\dbo.DimItsVihGrupo12_2019.Table.txt &amp; @echo Script  ejecutado en la Base de datos UEIHNE01/SQLEXPRESS/BDHIS_MINSA</v>
      </c>
    </row>
    <row r="89" spans="1:9" ht="43.5" customHeight="1" thickBot="1" x14ac:dyDescent="0.25">
      <c r="A89" s="4" t="s">
        <v>78</v>
      </c>
      <c r="B89" s="4" t="str">
        <f>IF(MENU!$B$6="","INGRESE SERVIDOR",MENU!$B$6)</f>
        <v>UEIHNE01</v>
      </c>
      <c r="C89" s="13" t="str">
        <f>IF(MENU!$D$6="","",MENU!$D$6)</f>
        <v>SQLEXPRESS</v>
      </c>
      <c r="D89" s="5" t="str">
        <f>IF(MENU!$C$6="","INGRESE BASE",MENU!$C$6)</f>
        <v>BDHIS_MINSA</v>
      </c>
      <c r="E89" s="13" t="str">
        <f>IF(MENU!$C$9="","",MENU!$C$9)</f>
        <v/>
      </c>
      <c r="F89" s="13" t="str">
        <f>IF(MENU!$D$9="","",MENU!$D$9)</f>
        <v/>
      </c>
      <c r="G89" s="8" t="s">
        <v>116</v>
      </c>
      <c r="H89" s="5" t="str">
        <f t="shared" si="1"/>
        <v>@echo Script  ejecutado en la Base de datos UEIHNE01/SQLEXPRESS/BDHIS_MINSA</v>
      </c>
      <c r="I89" s="4" t="str">
        <f>IF(OR(E89="",F89=""),IF(C89="",IF(G89="","",(CONCATENATE("sqlcmd -E -S ",B89," -d ",D89," -i ",MENU!$E$6,A89,"\",G89,".sql -o ",MENU!$B$9,G89, ".txt &amp; ",H89))),IF(G89="","",(CONCATENATE("sqlcmd -E -S ",B89,"\",C89," -d ",D89," -i ",MENU!$E$6,A89,"\",G89,".sql -o ",MENU!$B$9,G89, ".txt &amp; ",H89)))),IF(C89="",IF(G89="","",(CONCATENATE("sqlcmd -S ",B89," -d ",D89," -U ",E89," -P ",F89," -i ",MENU!$E$6,A89,"\",G89,".sql -o ",MENU!$B$9,G89, ".txt &amp; ",H89))),IF(G89="","",(CONCATENATE("sqlcmd -S ",B89,"\",C89," -d ",D89," -U ",E89," -P ",F89," -i ",MENU!$E$6,A89,"\",G89,".sql -o ",MENU!$B$9,G89, ".txt &amp; ",H89)))))</f>
        <v>sqlcmd -E -S UEIHNE01\SQLEXPRESS -d BDHIS_MINSA -i C:\HISMINSA\Scripts\ITSVIH\dbo.DimItsVihGrupo13_2019.Table.sql -o C:\HISMINSA\Resultados\dbo.DimItsVihGrupo13_2019.Table.txt &amp; @echo Script  ejecutado en la Base de datos UEIHNE01/SQLEXPRESS/BDHIS_MINSA</v>
      </c>
    </row>
    <row r="90" spans="1:9" ht="43.5" customHeight="1" thickBot="1" x14ac:dyDescent="0.25">
      <c r="A90" s="4" t="s">
        <v>78</v>
      </c>
      <c r="B90" s="4" t="str">
        <f>IF(MENU!$B$6="","INGRESE SERVIDOR",MENU!$B$6)</f>
        <v>UEIHNE01</v>
      </c>
      <c r="C90" s="13" t="str">
        <f>IF(MENU!$D$6="","",MENU!$D$6)</f>
        <v>SQLEXPRESS</v>
      </c>
      <c r="D90" s="5" t="str">
        <f>IF(MENU!$C$6="","INGRESE BASE",MENU!$C$6)</f>
        <v>BDHIS_MINSA</v>
      </c>
      <c r="E90" s="13" t="str">
        <f>IF(MENU!$C$9="","",MENU!$C$9)</f>
        <v/>
      </c>
      <c r="F90" s="13" t="str">
        <f>IF(MENU!$D$9="","",MENU!$D$9)</f>
        <v/>
      </c>
      <c r="G90" s="8" t="s">
        <v>117</v>
      </c>
      <c r="H90" s="5" t="str">
        <f t="shared" si="1"/>
        <v>@echo Script  ejecutado en la Base de datos UEIHNE01/SQLEXPRESS/BDHIS_MINSA</v>
      </c>
      <c r="I90" s="4" t="str">
        <f>IF(OR(E90="",F90=""),IF(C90="",IF(G90="","",(CONCATENATE("sqlcmd -E -S ",B90," -d ",D90," -i ",MENU!$E$6,A90,"\",G90,".sql -o ",MENU!$B$9,G90, ".txt &amp; ",H90))),IF(G90="","",(CONCATENATE("sqlcmd -E -S ",B90,"\",C90," -d ",D90," -i ",MENU!$E$6,A90,"\",G90,".sql -o ",MENU!$B$9,G90, ".txt &amp; ",H90)))),IF(C90="",IF(G90="","",(CONCATENATE("sqlcmd -S ",B90," -d ",D90," -U ",E90," -P ",F90," -i ",MENU!$E$6,A90,"\",G90,".sql -o ",MENU!$B$9,G90, ".txt &amp; ",H90))),IF(G90="","",(CONCATENATE("sqlcmd -S ",B90,"\",C90," -d ",D90," -U ",E90," -P ",F90," -i ",MENU!$E$6,A90,"\",G90,".sql -o ",MENU!$B$9,G90, ".txt &amp; ",H90)))))</f>
        <v>sqlcmd -E -S UEIHNE01\SQLEXPRESS -d BDHIS_MINSA -i C:\HISMINSA\Scripts\ITSVIH\dbo.DimItsVihGrupo14_2019.Table.sql -o C:\HISMINSA\Resultados\dbo.DimItsVihGrupo14_2019.Table.txt &amp; @echo Script  ejecutado en la Base de datos UEIHNE01/SQLEXPRESS/BDHIS_MINSA</v>
      </c>
    </row>
    <row r="91" spans="1:9" ht="43.5" customHeight="1" thickBot="1" x14ac:dyDescent="0.25">
      <c r="A91" s="4" t="s">
        <v>78</v>
      </c>
      <c r="B91" s="4" t="str">
        <f>IF(MENU!$B$6="","INGRESE SERVIDOR",MENU!$B$6)</f>
        <v>UEIHNE01</v>
      </c>
      <c r="C91" s="13" t="str">
        <f>IF(MENU!$D$6="","",MENU!$D$6)</f>
        <v>SQLEXPRESS</v>
      </c>
      <c r="D91" s="5" t="str">
        <f>IF(MENU!$C$6="","INGRESE BASE",MENU!$C$6)</f>
        <v>BDHIS_MINSA</v>
      </c>
      <c r="E91" s="13" t="str">
        <f>IF(MENU!$C$9="","",MENU!$C$9)</f>
        <v/>
      </c>
      <c r="F91" s="13" t="str">
        <f>IF(MENU!$D$9="","",MENU!$D$9)</f>
        <v/>
      </c>
      <c r="G91" s="8" t="s">
        <v>118</v>
      </c>
      <c r="H91" s="5" t="str">
        <f t="shared" si="1"/>
        <v>@echo Script  ejecutado en la Base de datos UEIHNE01/SQLEXPRESS/BDHIS_MINSA</v>
      </c>
      <c r="I91" s="4" t="str">
        <f>IF(OR(E91="",F91=""),IF(C91="",IF(G91="","",(CONCATENATE("sqlcmd -E -S ",B91," -d ",D91," -i ",MENU!$E$6,A91,"\",G91,".sql -o ",MENU!$B$9,G91, ".txt &amp; ",H91))),IF(G91="","",(CONCATENATE("sqlcmd -E -S ",B91,"\",C91," -d ",D91," -i ",MENU!$E$6,A91,"\",G91,".sql -o ",MENU!$B$9,G91, ".txt &amp; ",H91)))),IF(C91="",IF(G91="","",(CONCATENATE("sqlcmd -S ",B91," -d ",D91," -U ",E91," -P ",F91," -i ",MENU!$E$6,A91,"\",G91,".sql -o ",MENU!$B$9,G91, ".txt &amp; ",H91))),IF(G91="","",(CONCATENATE("sqlcmd -S ",B91,"\",C91," -d ",D91," -U ",E91," -P ",F91," -i ",MENU!$E$6,A91,"\",G91,".sql -o ",MENU!$B$9,G91, ".txt &amp; ",H91)))))</f>
        <v>sqlcmd -E -S UEIHNE01\SQLEXPRESS -d BDHIS_MINSA -i C:\HISMINSA\Scripts\ITSVIH\dbo.DimItsVihGrupo15_2019.Table.sql -o C:\HISMINSA\Resultados\dbo.DimItsVihGrupo15_2019.Table.txt &amp; @echo Script  ejecutado en la Base de datos UEIHNE01/SQLEXPRESS/BDHIS_MINSA</v>
      </c>
    </row>
    <row r="92" spans="1:9" ht="43.5" customHeight="1" thickBot="1" x14ac:dyDescent="0.25">
      <c r="A92" s="4" t="s">
        <v>78</v>
      </c>
      <c r="B92" s="4" t="str">
        <f>IF(MENU!$B$6="","INGRESE SERVIDOR",MENU!$B$6)</f>
        <v>UEIHNE01</v>
      </c>
      <c r="C92" s="13" t="str">
        <f>IF(MENU!$D$6="","",MENU!$D$6)</f>
        <v>SQLEXPRESS</v>
      </c>
      <c r="D92" s="5" t="str">
        <f>IF(MENU!$C$6="","INGRESE BASE",MENU!$C$6)</f>
        <v>BDHIS_MINSA</v>
      </c>
      <c r="E92" s="13" t="str">
        <f>IF(MENU!$C$9="","",MENU!$C$9)</f>
        <v/>
      </c>
      <c r="F92" s="13" t="str">
        <f>IF(MENU!$D$9="","",MENU!$D$9)</f>
        <v/>
      </c>
      <c r="G92" s="8" t="s">
        <v>119</v>
      </c>
      <c r="H92" s="5" t="str">
        <f t="shared" si="1"/>
        <v>@echo Script  ejecutado en la Base de datos UEIHNE01/SQLEXPRESS/BDHIS_MINSA</v>
      </c>
      <c r="I92" s="4" t="str">
        <f>IF(OR(E92="",F92=""),IF(C92="",IF(G92="","",(CONCATENATE("sqlcmd -E -S ",B92," -d ",D92," -i ",MENU!$E$6,A92,"\",G92,".sql -o ",MENU!$B$9,G92, ".txt &amp; ",H92))),IF(G92="","",(CONCATENATE("sqlcmd -E -S ",B92,"\",C92," -d ",D92," -i ",MENU!$E$6,A92,"\",G92,".sql -o ",MENU!$B$9,G92, ".txt &amp; ",H92)))),IF(C92="",IF(G92="","",(CONCATENATE("sqlcmd -S ",B92," -d ",D92," -U ",E92," -P ",F92," -i ",MENU!$E$6,A92,"\",G92,".sql -o ",MENU!$B$9,G92, ".txt &amp; ",H92))),IF(G92="","",(CONCATENATE("sqlcmd -S ",B92,"\",C92," -d ",D92," -U ",E92," -P ",F92," -i ",MENU!$E$6,A92,"\",G92,".sql -o ",MENU!$B$9,G92, ".txt &amp; ",H92)))))</f>
        <v>sqlcmd -E -S UEIHNE01\SQLEXPRESS -d BDHIS_MINSA -i C:\HISMINSA\Scripts\ITSVIH\dbo.DimItsVihGrupo18_2019.Table.sql -o C:\HISMINSA\Resultados\dbo.DimItsVihGrupo18_2019.Table.txt &amp; @echo Script  ejecutado en la Base de datos UEIHNE01/SQLEXPRESS/BDHIS_MINSA</v>
      </c>
    </row>
    <row r="93" spans="1:9" ht="43.5" customHeight="1" thickBot="1" x14ac:dyDescent="0.25">
      <c r="A93" s="4" t="s">
        <v>78</v>
      </c>
      <c r="B93" s="4" t="str">
        <f>IF(MENU!$B$6="","INGRESE SERVIDOR",MENU!$B$6)</f>
        <v>UEIHNE01</v>
      </c>
      <c r="C93" s="13" t="str">
        <f>IF(MENU!$D$6="","",MENU!$D$6)</f>
        <v>SQLEXPRESS</v>
      </c>
      <c r="D93" s="5" t="str">
        <f>IF(MENU!$C$6="","INGRESE BASE",MENU!$C$6)</f>
        <v>BDHIS_MINSA</v>
      </c>
      <c r="E93" s="13" t="str">
        <f>IF(MENU!$C$9="","",MENU!$C$9)</f>
        <v/>
      </c>
      <c r="F93" s="13" t="str">
        <f>IF(MENU!$D$9="","",MENU!$D$9)</f>
        <v/>
      </c>
      <c r="G93" s="8" t="s">
        <v>120</v>
      </c>
      <c r="H93" s="5" t="str">
        <f t="shared" si="1"/>
        <v>@echo Script  ejecutado en la Base de datos UEIHNE01/SQLEXPRESS/BDHIS_MINSA</v>
      </c>
      <c r="I93" s="4" t="str">
        <f>IF(OR(E93="",F93=""),IF(C93="",IF(G93="","",(CONCATENATE("sqlcmd -E -S ",B93," -d ",D93," -i ",MENU!$E$6,A93,"\",G93,".sql -o ",MENU!$B$9,G93, ".txt &amp; ",H93))),IF(G93="","",(CONCATENATE("sqlcmd -E -S ",B93,"\",C93," -d ",D93," -i ",MENU!$E$6,A93,"\",G93,".sql -o ",MENU!$B$9,G93, ".txt &amp; ",H93)))),IF(C93="",IF(G93="","",(CONCATENATE("sqlcmd -S ",B93," -d ",D93," -U ",E93," -P ",F93," -i ",MENU!$E$6,A93,"\",G93,".sql -o ",MENU!$B$9,G93, ".txt &amp; ",H93))),IF(G93="","",(CONCATENATE("sqlcmd -S ",B93,"\",C93," -d ",D93," -U ",E93," -P ",F93," -i ",MENU!$E$6,A93,"\",G93,".sql -o ",MENU!$B$9,G93, ".txt &amp; ",H93)))))</f>
        <v>sqlcmd -E -S UEIHNE01\SQLEXPRESS -d BDHIS_MINSA -i C:\HISMINSA\Scripts\ITSVIH\dbo.DimItsVihGrupo19_2019.Table.sql -o C:\HISMINSA\Resultados\dbo.DimItsVihGrupo19_2019.Table.txt &amp; @echo Script  ejecutado en la Base de datos UEIHNE01/SQLEXPRESS/BDHIS_MINSA</v>
      </c>
    </row>
    <row r="94" spans="1:9" ht="43.5" customHeight="1" thickBot="1" x14ac:dyDescent="0.25">
      <c r="A94" s="4" t="s">
        <v>78</v>
      </c>
      <c r="B94" s="4" t="str">
        <f>IF(MENU!$B$6="","INGRESE SERVIDOR",MENU!$B$6)</f>
        <v>UEIHNE01</v>
      </c>
      <c r="C94" s="13" t="str">
        <f>IF(MENU!$D$6="","",MENU!$D$6)</f>
        <v>SQLEXPRESS</v>
      </c>
      <c r="D94" s="5" t="str">
        <f>IF(MENU!$C$6="","INGRESE BASE",MENU!$C$6)</f>
        <v>BDHIS_MINSA</v>
      </c>
      <c r="E94" s="13" t="str">
        <f>IF(MENU!$C$9="","",MENU!$C$9)</f>
        <v/>
      </c>
      <c r="F94" s="13" t="str">
        <f>IF(MENU!$D$9="","",MENU!$D$9)</f>
        <v/>
      </c>
      <c r="G94" s="8" t="s">
        <v>121</v>
      </c>
      <c r="H94" s="5" t="str">
        <f t="shared" si="1"/>
        <v>@echo Script  ejecutado en la Base de datos UEIHNE01/SQLEXPRESS/BDHIS_MINSA</v>
      </c>
      <c r="I94" s="4" t="str">
        <f>IF(OR(E94="",F94=""),IF(C94="",IF(G94="","",(CONCATENATE("sqlcmd -E -S ",B94," -d ",D94," -i ",MENU!$E$6,A94,"\",G94,".sql -o ",MENU!$B$9,G94, ".txt &amp; ",H94))),IF(G94="","",(CONCATENATE("sqlcmd -E -S ",B94,"\",C94," -d ",D94," -i ",MENU!$E$6,A94,"\",G94,".sql -o ",MENU!$B$9,G94, ".txt &amp; ",H94)))),IF(C94="",IF(G94="","",(CONCATENATE("sqlcmd -S ",B94," -d ",D94," -U ",E94," -P ",F94," -i ",MENU!$E$6,A94,"\",G94,".sql -o ",MENU!$B$9,G94, ".txt &amp; ",H94))),IF(G94="","",(CONCATENATE("sqlcmd -S ",B94,"\",C94," -d ",D94," -U ",E94," -P ",F94," -i ",MENU!$E$6,A94,"\",G94,".sql -o ",MENU!$B$9,G94, ".txt &amp; ",H94)))))</f>
        <v>sqlcmd -E -S UEIHNE01\SQLEXPRESS -d BDHIS_MINSA -i C:\HISMINSA\Scripts\ITSVIH\dbo.DimItsVihGrupo20_2019.Table.sql -o C:\HISMINSA\Resultados\dbo.DimItsVihGrupo20_2019.Table.txt &amp; @echo Script  ejecutado en la Base de datos UEIHNE01/SQLEXPRESS/BDHIS_MINSA</v>
      </c>
    </row>
    <row r="95" spans="1:9" ht="43.5" customHeight="1" thickBot="1" x14ac:dyDescent="0.25">
      <c r="A95" s="4" t="s">
        <v>78</v>
      </c>
      <c r="B95" s="4" t="str">
        <f>IF(MENU!$B$6="","INGRESE SERVIDOR",MENU!$B$6)</f>
        <v>UEIHNE01</v>
      </c>
      <c r="C95" s="13" t="str">
        <f>IF(MENU!$D$6="","",MENU!$D$6)</f>
        <v>SQLEXPRESS</v>
      </c>
      <c r="D95" s="5" t="str">
        <f>IF(MENU!$C$6="","INGRESE BASE",MENU!$C$6)</f>
        <v>BDHIS_MINSA</v>
      </c>
      <c r="E95" s="13" t="str">
        <f>IF(MENU!$C$9="","",MENU!$C$9)</f>
        <v/>
      </c>
      <c r="F95" s="13" t="str">
        <f>IF(MENU!$D$9="","",MENU!$D$9)</f>
        <v/>
      </c>
      <c r="G95" s="8" t="s">
        <v>122</v>
      </c>
      <c r="H95" s="5" t="str">
        <f t="shared" si="1"/>
        <v>@echo Script  ejecutado en la Base de datos UEIHNE01/SQLEXPRESS/BDHIS_MINSA</v>
      </c>
      <c r="I95" s="4" t="str">
        <f>IF(OR(E95="",F95=""),IF(C95="",IF(G95="","",(CONCATENATE("sqlcmd -E -S ",B95," -d ",D95," -i ",MENU!$E$6,A95,"\",G95,".sql -o ",MENU!$B$9,G95, ".txt &amp; ",H95))),IF(G95="","",(CONCATENATE("sqlcmd -E -S ",B95,"\",C95," -d ",D95," -i ",MENU!$E$6,A95,"\",G95,".sql -o ",MENU!$B$9,G95, ".txt &amp; ",H95)))),IF(C95="",IF(G95="","",(CONCATENATE("sqlcmd -S ",B95," -d ",D95," -U ",E95," -P ",F95," -i ",MENU!$E$6,A95,"\",G95,".sql -o ",MENU!$B$9,G95, ".txt &amp; ",H95))),IF(G95="","",(CONCATENATE("sqlcmd -S ",B95,"\",C95," -d ",D95," -U ",E95," -P ",F95," -i ",MENU!$E$6,A95,"\",G95,".sql -o ",MENU!$B$9,G95, ".txt &amp; ",H95)))))</f>
        <v>sqlcmd -E -S UEIHNE01\SQLEXPRESS -d BDHIS_MINSA -i C:\HISMINSA\Scripts\ITSVIH\dbo.DimItsVihGrupo21_2019.Table.sql -o C:\HISMINSA\Resultados\dbo.DimItsVihGrupo21_2019.Table.txt &amp; @echo Script  ejecutado en la Base de datos UEIHNE01/SQLEXPRESS/BDHIS_MINSA</v>
      </c>
    </row>
    <row r="96" spans="1:9" ht="43.5" customHeight="1" thickBot="1" x14ac:dyDescent="0.25">
      <c r="A96" s="4" t="s">
        <v>78</v>
      </c>
      <c r="B96" s="4" t="str">
        <f>IF(MENU!$B$6="","INGRESE SERVIDOR",MENU!$B$6)</f>
        <v>UEIHNE01</v>
      </c>
      <c r="C96" s="13" t="str">
        <f>IF(MENU!$D$6="","",MENU!$D$6)</f>
        <v>SQLEXPRESS</v>
      </c>
      <c r="D96" s="5" t="str">
        <f>IF(MENU!$C$6="","INGRESE BASE",MENU!$C$6)</f>
        <v>BDHIS_MINSA</v>
      </c>
      <c r="E96" s="13" t="str">
        <f>IF(MENU!$C$9="","",MENU!$C$9)</f>
        <v/>
      </c>
      <c r="F96" s="13" t="str">
        <f>IF(MENU!$D$9="","",MENU!$D$9)</f>
        <v/>
      </c>
      <c r="G96" s="8" t="s">
        <v>123</v>
      </c>
      <c r="H96" s="5" t="str">
        <f t="shared" si="1"/>
        <v>@echo Script  ejecutado en la Base de datos UEIHNE01/SQLEXPRESS/BDHIS_MINSA</v>
      </c>
      <c r="I96" s="4" t="str">
        <f>IF(OR(E96="",F96=""),IF(C96="",IF(G96="","",(CONCATENATE("sqlcmd -E -S ",B96," -d ",D96," -i ",MENU!$E$6,A96,"\",G96,".sql -o ",MENU!$B$9,G96, ".txt &amp; ",H96))),IF(G96="","",(CONCATENATE("sqlcmd -E -S ",B96,"\",C96," -d ",D96," -i ",MENU!$E$6,A96,"\",G96,".sql -o ",MENU!$B$9,G96, ".txt &amp; ",H96)))),IF(C96="",IF(G96="","",(CONCATENATE("sqlcmd -S ",B96," -d ",D96," -U ",E96," -P ",F96," -i ",MENU!$E$6,A96,"\",G96,".sql -o ",MENU!$B$9,G96, ".txt &amp; ",H96))),IF(G96="","",(CONCATENATE("sqlcmd -S ",B96,"\",C96," -d ",D96," -U ",E96," -P ",F96," -i ",MENU!$E$6,A96,"\",G96,".sql -o ",MENU!$B$9,G96, ".txt &amp; ",H96)))))</f>
        <v>sqlcmd -E -S UEIHNE01\SQLEXPRESS -d BDHIS_MINSA -i C:\HISMINSA\Scripts\ITSVIH\dbo.DimItsVihGrupo22_2019.Table.sql -o C:\HISMINSA\Resultados\dbo.DimItsVihGrupo22_2019.Table.txt &amp; @echo Script  ejecutado en la Base de datos UEIHNE01/SQLEXPRESS/BDHIS_MINSA</v>
      </c>
    </row>
    <row r="97" spans="1:9" ht="43.5" customHeight="1" thickBot="1" x14ac:dyDescent="0.25">
      <c r="A97" s="4" t="s">
        <v>78</v>
      </c>
      <c r="B97" s="4" t="str">
        <f>IF(MENU!$B$6="","INGRESE SERVIDOR",MENU!$B$6)</f>
        <v>UEIHNE01</v>
      </c>
      <c r="C97" s="13" t="str">
        <f>IF(MENU!$D$6="","",MENU!$D$6)</f>
        <v>SQLEXPRESS</v>
      </c>
      <c r="D97" s="5" t="str">
        <f>IF(MENU!$C$6="","INGRESE BASE",MENU!$C$6)</f>
        <v>BDHIS_MINSA</v>
      </c>
      <c r="E97" s="13" t="str">
        <f>IF(MENU!$C$9="","",MENU!$C$9)</f>
        <v/>
      </c>
      <c r="F97" s="13" t="str">
        <f>IF(MENU!$D$9="","",MENU!$D$9)</f>
        <v/>
      </c>
      <c r="G97" s="8" t="s">
        <v>124</v>
      </c>
      <c r="H97" s="5" t="str">
        <f t="shared" si="1"/>
        <v>@echo Script  ejecutado en la Base de datos UEIHNE01/SQLEXPRESS/BDHIS_MINSA</v>
      </c>
      <c r="I97" s="4" t="str">
        <f>IF(OR(E97="",F97=""),IF(C97="",IF(G97="","",(CONCATENATE("sqlcmd -E -S ",B97," -d ",D97," -i ",MENU!$E$6,A97,"\",G97,".sql -o ",MENU!$B$9,G97, ".txt &amp; ",H97))),IF(G97="","",(CONCATENATE("sqlcmd -E -S ",B97,"\",C97," -d ",D97," -i ",MENU!$E$6,A97,"\",G97,".sql -o ",MENU!$B$9,G97, ".txt &amp; ",H97)))),IF(C97="",IF(G97="","",(CONCATENATE("sqlcmd -S ",B97," -d ",D97," -U ",E97," -P ",F97," -i ",MENU!$E$6,A97,"\",G97,".sql -o ",MENU!$B$9,G97, ".txt &amp; ",H97))),IF(G97="","",(CONCATENATE("sqlcmd -S ",B97,"\",C97," -d ",D97," -U ",E97," -P ",F97," -i ",MENU!$E$6,A97,"\",G97,".sql -o ",MENU!$B$9,G97, ".txt &amp; ",H97)))))</f>
        <v>sqlcmd -E -S UEIHNE01\SQLEXPRESS -d BDHIS_MINSA -i C:\HISMINSA\Scripts\ITSVIH\dbo.DimItsVihGrupo23_2019.Table.sql -o C:\HISMINSA\Resultados\dbo.DimItsVihGrupo23_2019.Table.txt &amp; @echo Script  ejecutado en la Base de datos UEIHNE01/SQLEXPRESS/BDHIS_MINSA</v>
      </c>
    </row>
    <row r="98" spans="1:9" ht="43.5" customHeight="1" thickBot="1" x14ac:dyDescent="0.25">
      <c r="A98" s="4" t="s">
        <v>78</v>
      </c>
      <c r="B98" s="4" t="str">
        <f>IF(MENU!$B$6="","INGRESE SERVIDOR",MENU!$B$6)</f>
        <v>UEIHNE01</v>
      </c>
      <c r="C98" s="13" t="str">
        <f>IF(MENU!$D$6="","",MENU!$D$6)</f>
        <v>SQLEXPRESS</v>
      </c>
      <c r="D98" s="5" t="str">
        <f>IF(MENU!$C$6="","INGRESE BASE",MENU!$C$6)</f>
        <v>BDHIS_MINSA</v>
      </c>
      <c r="E98" s="13" t="str">
        <f>IF(MENU!$C$9="","",MENU!$C$9)</f>
        <v/>
      </c>
      <c r="F98" s="13" t="str">
        <f>IF(MENU!$D$9="","",MENU!$D$9)</f>
        <v/>
      </c>
      <c r="G98" s="8" t="s">
        <v>125</v>
      </c>
      <c r="H98" s="5" t="str">
        <f t="shared" si="1"/>
        <v>@echo Script  ejecutado en la Base de datos UEIHNE01/SQLEXPRESS/BDHIS_MINSA</v>
      </c>
      <c r="I98" s="4" t="str">
        <f>IF(OR(E98="",F98=""),IF(C98="",IF(G98="","",(CONCATENATE("sqlcmd -E -S ",B98," -d ",D98," -i ",MENU!$E$6,A98,"\",G98,".sql -o ",MENU!$B$9,G98, ".txt &amp; ",H98))),IF(G98="","",(CONCATENATE("sqlcmd -E -S ",B98,"\",C98," -d ",D98," -i ",MENU!$E$6,A98,"\",G98,".sql -o ",MENU!$B$9,G98, ".txt &amp; ",H98)))),IF(C98="",IF(G98="","",(CONCATENATE("sqlcmd -S ",B98," -d ",D98," -U ",E98," -P ",F98," -i ",MENU!$E$6,A98,"\",G98,".sql -o ",MENU!$B$9,G98, ".txt &amp; ",H98))),IF(G98="","",(CONCATENATE("sqlcmd -S ",B98,"\",C98," -d ",D98," -U ",E98," -P ",F98," -i ",MENU!$E$6,A98,"\",G98,".sql -o ",MENU!$B$9,G98, ".txt &amp; ",H98)))))</f>
        <v>sqlcmd -E -S UEIHNE01\SQLEXPRESS -d BDHIS_MINSA -i C:\HISMINSA\Scripts\ITSVIH\dbo.DimItsVihGrupo24_2019.Table.sql -o C:\HISMINSA\Resultados\dbo.DimItsVihGrupo24_2019.Table.txt &amp; @echo Script  ejecutado en la Base de datos UEIHNE01/SQLEXPRESS/BDHIS_MINSA</v>
      </c>
    </row>
    <row r="99" spans="1:9" ht="43.5" customHeight="1" thickBot="1" x14ac:dyDescent="0.25">
      <c r="A99" s="4" t="s">
        <v>78</v>
      </c>
      <c r="B99" s="4" t="str">
        <f>IF(MENU!$B$6="","INGRESE SERVIDOR",MENU!$B$6)</f>
        <v>UEIHNE01</v>
      </c>
      <c r="C99" s="13" t="str">
        <f>IF(MENU!$D$6="","",MENU!$D$6)</f>
        <v>SQLEXPRESS</v>
      </c>
      <c r="D99" s="5" t="str">
        <f>IF(MENU!$C$6="","INGRESE BASE",MENU!$C$6)</f>
        <v>BDHIS_MINSA</v>
      </c>
      <c r="E99" s="13" t="str">
        <f>IF(MENU!$C$9="","",MENU!$C$9)</f>
        <v/>
      </c>
      <c r="F99" s="13" t="str">
        <f>IF(MENU!$D$9="","",MENU!$D$9)</f>
        <v/>
      </c>
      <c r="G99" s="8" t="s">
        <v>126</v>
      </c>
      <c r="H99" s="5" t="str">
        <f t="shared" si="1"/>
        <v>@echo Script  ejecutado en la Base de datos UEIHNE01/SQLEXPRESS/BDHIS_MINSA</v>
      </c>
      <c r="I99" s="4" t="str">
        <f>IF(OR(E99="",F99=""),IF(C99="",IF(G99="","",(CONCATENATE("sqlcmd -E -S ",B99," -d ",D99," -i ",MENU!$E$6,A99,"\",G99,".sql -o ",MENU!$B$9,G99, ".txt &amp; ",H99))),IF(G99="","",(CONCATENATE("sqlcmd -E -S ",B99,"\",C99," -d ",D99," -i ",MENU!$E$6,A99,"\",G99,".sql -o ",MENU!$B$9,G99, ".txt &amp; ",H99)))),IF(C99="",IF(G99="","",(CONCATENATE("sqlcmd -S ",B99," -d ",D99," -U ",E99," -P ",F99," -i ",MENU!$E$6,A99,"\",G99,".sql -o ",MENU!$B$9,G99, ".txt &amp; ",H99))),IF(G99="","",(CONCATENATE("sqlcmd -S ",B99,"\",C99," -d ",D99," -U ",E99," -P ",F99," -i ",MENU!$E$6,A99,"\",G99,".sql -o ",MENU!$B$9,G99, ".txt &amp; ",H99)))))</f>
        <v>sqlcmd -E -S UEIHNE01\SQLEXPRESS -d BDHIS_MINSA -i C:\HISMINSA\Scripts\ITSVIH\dbo.DimItsVihGrupo25_2019.Table.sql -o C:\HISMINSA\Resultados\dbo.DimItsVihGrupo25_2019.Table.txt &amp; @echo Script  ejecutado en la Base de datos UEIHNE01/SQLEXPRESS/BDHIS_MINSA</v>
      </c>
    </row>
    <row r="100" spans="1:9" ht="43.5" customHeight="1" thickBot="1" x14ac:dyDescent="0.25">
      <c r="A100" s="4" t="s">
        <v>78</v>
      </c>
      <c r="B100" s="4" t="str">
        <f>IF(MENU!$B$6="","INGRESE SERVIDOR",MENU!$B$6)</f>
        <v>UEIHNE01</v>
      </c>
      <c r="C100" s="13" t="str">
        <f>IF(MENU!$D$6="","",MENU!$D$6)</f>
        <v>SQLEXPRESS</v>
      </c>
      <c r="D100" s="5" t="str">
        <f>IF(MENU!$C$6="","INGRESE BASE",MENU!$C$6)</f>
        <v>BDHIS_MINSA</v>
      </c>
      <c r="E100" s="13" t="str">
        <f>IF(MENU!$C$9="","",MENU!$C$9)</f>
        <v/>
      </c>
      <c r="F100" s="13" t="str">
        <f>IF(MENU!$D$9="","",MENU!$D$9)</f>
        <v/>
      </c>
      <c r="G100" s="8" t="s">
        <v>127</v>
      </c>
      <c r="H100" s="5" t="str">
        <f t="shared" si="1"/>
        <v>@echo Script  ejecutado en la Base de datos UEIHNE01/SQLEXPRESS/BDHIS_MINSA</v>
      </c>
      <c r="I100" s="4" t="str">
        <f>IF(OR(E100="",F100=""),IF(C100="",IF(G100="","",(CONCATENATE("sqlcmd -E -S ",B100," -d ",D100," -i ",MENU!$E$6,A100,"\",G100,".sql -o ",MENU!$B$9,G100, ".txt &amp; ",H100))),IF(G100="","",(CONCATENATE("sqlcmd -E -S ",B100,"\",C100," -d ",D100," -i ",MENU!$E$6,A100,"\",G100,".sql -o ",MENU!$B$9,G100, ".txt &amp; ",H100)))),IF(C100="",IF(G100="","",(CONCATENATE("sqlcmd -S ",B100," -d ",D100," -U ",E100," -P ",F100," -i ",MENU!$E$6,A100,"\",G100,".sql -o ",MENU!$B$9,G100, ".txt &amp; ",H100))),IF(G100="","",(CONCATENATE("sqlcmd -S ",B100,"\",C100," -d ",D100," -U ",E100," -P ",F100," -i ",MENU!$E$6,A100,"\",G100,".sql -o ",MENU!$B$9,G100, ".txt &amp; ",H100)))))</f>
        <v>sqlcmd -E -S UEIHNE01\SQLEXPRESS -d BDHIS_MINSA -i C:\HISMINSA\Scripts\ITSVIH\dbo.DimItsVihGrupo26_2019.Table.sql -o C:\HISMINSA\Resultados\dbo.DimItsVihGrupo26_2019.Table.txt &amp; @echo Script  ejecutado en la Base de datos UEIHNE01/SQLEXPRESS/BDHIS_MINSA</v>
      </c>
    </row>
    <row r="101" spans="1:9" ht="43.5" customHeight="1" thickBot="1" x14ac:dyDescent="0.25">
      <c r="A101" s="4" t="s">
        <v>78</v>
      </c>
      <c r="B101" s="4" t="str">
        <f>IF(MENU!$B$6="","INGRESE SERVIDOR",MENU!$B$6)</f>
        <v>UEIHNE01</v>
      </c>
      <c r="C101" s="13" t="str">
        <f>IF(MENU!$D$6="","",MENU!$D$6)</f>
        <v>SQLEXPRESS</v>
      </c>
      <c r="D101" s="5" t="str">
        <f>IF(MENU!$C$6="","INGRESE BASE",MENU!$C$6)</f>
        <v>BDHIS_MINSA</v>
      </c>
      <c r="E101" s="13" t="str">
        <f>IF(MENU!$C$9="","",MENU!$C$9)</f>
        <v/>
      </c>
      <c r="F101" s="13" t="str">
        <f>IF(MENU!$D$9="","",MENU!$D$9)</f>
        <v/>
      </c>
      <c r="G101" s="8" t="s">
        <v>128</v>
      </c>
      <c r="H101" s="5" t="str">
        <f t="shared" si="1"/>
        <v>@echo Script  ejecutado en la Base de datos UEIHNE01/SQLEXPRESS/BDHIS_MINSA</v>
      </c>
      <c r="I101" s="4" t="str">
        <f>IF(OR(E101="",F101=""),IF(C101="",IF(G101="","",(CONCATENATE("sqlcmd -E -S ",B101," -d ",D101," -i ",MENU!$E$6,A101,"\",G101,".sql -o ",MENU!$B$9,G101, ".txt &amp; ",H101))),IF(G101="","",(CONCATENATE("sqlcmd -E -S ",B101,"\",C101," -d ",D101," -i ",MENU!$E$6,A101,"\",G101,".sql -o ",MENU!$B$9,G101, ".txt &amp; ",H101)))),IF(C101="",IF(G101="","",(CONCATENATE("sqlcmd -S ",B101," -d ",D101," -U ",E101," -P ",F101," -i ",MENU!$E$6,A101,"\",G101,".sql -o ",MENU!$B$9,G101, ".txt &amp; ",H101))),IF(G101="","",(CONCATENATE("sqlcmd -S ",B101,"\",C101," -d ",D101," -U ",E101," -P ",F101," -i ",MENU!$E$6,A101,"\",G101,".sql -o ",MENU!$B$9,G101, ".txt &amp; ",H101)))))</f>
        <v>sqlcmd -E -S UEIHNE01\SQLEXPRESS -d BDHIS_MINSA -i C:\HISMINSA\Scripts\ITSVIH\dbo.DimItsVihTrimestre08_2019.Table.sql -o C:\HISMINSA\Resultados\dbo.DimItsVihTrimestre08_2019.Table.txt &amp; @echo Script  ejecutado en la Base de datos UEIHNE01/SQLEXPRESS/BDHIS_MINSA</v>
      </c>
    </row>
    <row r="102" spans="1:9" ht="43.5" customHeight="1" thickBot="1" x14ac:dyDescent="0.25">
      <c r="A102" s="4" t="s">
        <v>78</v>
      </c>
      <c r="B102" s="4" t="str">
        <f>IF(MENU!$B$6="","INGRESE SERVIDOR",MENU!$B$6)</f>
        <v>UEIHNE01</v>
      </c>
      <c r="C102" s="13" t="str">
        <f>IF(MENU!$D$6="","",MENU!$D$6)</f>
        <v>SQLEXPRESS</v>
      </c>
      <c r="D102" s="5" t="str">
        <f>IF(MENU!$C$6="","INGRESE BASE",MENU!$C$6)</f>
        <v>BDHIS_MINSA</v>
      </c>
      <c r="E102" s="13" t="str">
        <f>IF(MENU!$C$9="","",MENU!$C$9)</f>
        <v/>
      </c>
      <c r="F102" s="13" t="str">
        <f>IF(MENU!$D$9="","",MENU!$D$9)</f>
        <v/>
      </c>
      <c r="G102" s="8" t="s">
        <v>112</v>
      </c>
      <c r="H102" s="5" t="str">
        <f t="shared" si="1"/>
        <v>@echo Script  ejecutado en la Base de datos UEIHNE01/SQLEXPRESS/BDHIS_MINSA</v>
      </c>
      <c r="I102" s="4" t="str">
        <f>IF(OR(E102="",F102=""),IF(C102="",IF(G102="","",(CONCATENATE("sqlcmd -E -S ",B102," -d ",D102," -i ",MENU!$E$6,A102,"\",G102,".sql -o ",MENU!$B$9,G102, ".txt &amp; ",H102))),IF(G102="","",(CONCATENATE("sqlcmd -E -S ",B102,"\",C102," -d ",D102," -i ",MENU!$E$6,A102,"\",G102,".sql -o ",MENU!$B$9,G102, ".txt &amp; ",H102)))),IF(C102="",IF(G102="","",(CONCATENATE("sqlcmd -S ",B102," -d ",D102," -U ",E102," -P ",F102," -i ",MENU!$E$6,A102,"\",G102,".sql -o ",MENU!$B$9,G102, ".txt &amp; ",H102))),IF(G102="","",(CONCATENATE("sqlcmd -S ",B102,"\",C102," -d ",D102," -U ",E102," -P ",F102," -i ",MENU!$E$6,A102,"\",G102,".sql -o ",MENU!$B$9,G102, ".txt &amp; ",H102)))))</f>
        <v>sqlcmd -E -S UEIHNE01\SQLEXPRESS -d BDHIS_MINSA -i C:\HISMINSA\Scripts\ITSVIH\dbo.DimItsVihEtapa.Table.sql -o C:\HISMINSA\Resultados\dbo.DimItsVihEtapa.Table.txt &amp; @echo Script  ejecutado en la Base de datos UEIHNE01/SQLEXPRESS/BDHIS_MINSA</v>
      </c>
    </row>
    <row r="103" spans="1:9" ht="43.5" customHeight="1" thickBot="1" x14ac:dyDescent="0.25">
      <c r="A103" s="4" t="s">
        <v>63</v>
      </c>
      <c r="B103" s="4" t="str">
        <f>IF(MENU!$B$6="","INGRESE SERVIDOR",MENU!$B$6)</f>
        <v>UEIHNE01</v>
      </c>
      <c r="C103" s="13" t="str">
        <f>IF(MENU!$D$6="","",MENU!$D$6)</f>
        <v>SQLEXPRESS</v>
      </c>
      <c r="D103" s="5" t="str">
        <f>IF(MENU!$C$6="","INGRESE BASE",MENU!$C$6)</f>
        <v>BDHIS_MINSA</v>
      </c>
      <c r="E103" s="13" t="str">
        <f>IF(MENU!$C$9="","",MENU!$C$9)</f>
        <v/>
      </c>
      <c r="F103" s="13" t="str">
        <f>IF(MENU!$D$9="","",MENU!$D$9)</f>
        <v/>
      </c>
      <c r="G103" s="16" t="s">
        <v>223</v>
      </c>
      <c r="H103" s="5" t="str">
        <f t="shared" ref="H103:H155" si="2">IF(C103="",CONCATENATE("@echo Script ",G103, ".sql ejecutado en la Base de datos ", B103,"/",D103),CONCATENATE("@echo Script ",E103, " ejecutado en la Base de datos ", B103,"/",C103,"/",D103))</f>
        <v>@echo Script  ejecutado en la Base de datos UEIHNE01/SQLEXPRESS/BDHIS_MINSA</v>
      </c>
      <c r="I103" s="4" t="str">
        <f>IF(OR(E103="",F103=""),IF(C103="",IF(G103="","",(CONCATENATE("sqlcmd -E -S ",B103," -d ",D103," -i ",MENU!$E$6,A103,"\",G103,".sql -o ",MENU!$B$9,G103, ".txt &amp; ",H103))),IF(G103="","",(CONCATENATE("sqlcmd -E -S ",B103,"\",C103," -d ",D103," -i ",MENU!$E$6,A103,"\",G103,".sql -o ",MENU!$B$9,G103, ".txt &amp; ",H103)))),IF(C103="",IF(G103="","",(CONCATENATE("sqlcmd -S ",B103," -d ",D103," -U ",E103," -P ",F103," -i ",MENU!$E$6,A103,"\",G103,".sql -o ",MENU!$B$9,G103, ".txt &amp; ",H103))),IF(G103="","",(CONCATENATE("sqlcmd -S ",B103,"\",C103," -d ",D103," -U ",E103," -P ",F103," -i ",MENU!$E$6,A103,"\",G103,".sql -o ",MENU!$B$9,G103, ".txt &amp; ",H103)))))</f>
        <v>sqlcmd -E -S UEIHNE01\SQLEXPRESS -d BDHIS_MINSA -i C:\HISMINSA\Scripts\ESNI\dbo.TRAMA_BASE_ESNI_RPT_01_REPORTE_A_CONSOLIDADO.Table.sql -o C:\HISMINSA\Resultados\dbo.TRAMA_BASE_ESNI_RPT_01_REPORTE_A_CONSOLIDADO.Table.txt &amp; @echo Script  ejecutado en la Base de datos UEIHNE01/SQLEXPRESS/BDHIS_MINSA</v>
      </c>
    </row>
    <row r="104" spans="1:9" ht="43.5" customHeight="1" thickBot="1" x14ac:dyDescent="0.25">
      <c r="A104" s="4" t="s">
        <v>63</v>
      </c>
      <c r="B104" s="4" t="str">
        <f>IF(MENU!$B$6="","INGRESE SERVIDOR",MENU!$B$6)</f>
        <v>UEIHNE01</v>
      </c>
      <c r="C104" s="13" t="str">
        <f>IF(MENU!$D$6="","",MENU!$D$6)</f>
        <v>SQLEXPRESS</v>
      </c>
      <c r="D104" s="5" t="str">
        <f>IF(MENU!$C$6="","INGRESE BASE",MENU!$C$6)</f>
        <v>BDHIS_MINSA</v>
      </c>
      <c r="E104" s="13" t="str">
        <f>IF(MENU!$C$9="","",MENU!$C$9)</f>
        <v/>
      </c>
      <c r="F104" s="13" t="str">
        <f>IF(MENU!$D$9="","",MENU!$D$9)</f>
        <v/>
      </c>
      <c r="G104" s="16" t="s">
        <v>224</v>
      </c>
      <c r="H104" s="5" t="str">
        <f t="shared" si="2"/>
        <v>@echo Script  ejecutado en la Base de datos UEIHNE01/SQLEXPRESS/BDHIS_MINSA</v>
      </c>
      <c r="I104" s="4" t="str">
        <f>IF(OR(E104="",F104=""),IF(C104="",IF(G104="","",(CONCATENATE("sqlcmd -E -S ",B104," -d ",D104," -i ",MENU!$E$6,A104,"\",G104,".sql -o ",MENU!$B$9,G104, ".txt &amp; ",H104))),IF(G104="","",(CONCATENATE("sqlcmd -E -S ",B104,"\",C104," -d ",D104," -i ",MENU!$E$6,A104,"\",G104,".sql -o ",MENU!$B$9,G104, ".txt &amp; ",H104)))),IF(C104="",IF(G104="","",(CONCATENATE("sqlcmd -S ",B104," -d ",D104," -U ",E104," -P ",F104," -i ",MENU!$E$6,A104,"\",G104,".sql -o ",MENU!$B$9,G104, ".txt &amp; ",H104))),IF(G104="","",(CONCATENATE("sqlcmd -S ",B104,"\",C104," -d ",D104," -U ",E104," -P ",F104," -i ",MENU!$E$6,A104,"\",G104,".sql -o ",MENU!$B$9,G104, ".txt &amp; ",H104)))))</f>
        <v>sqlcmd -E -S UEIHNE01\SQLEXPRESS -d BDHIS_MINSA -i C:\HISMINSA\Scripts\ESNI\dbo.TRAMA_BASE_ESNI_RPT_01_REPORTE_A_NOMINAL.Table.sql -o C:\HISMINSA\Resultados\dbo.TRAMA_BASE_ESNI_RPT_01_REPORTE_A_NOMINAL.Table.txt &amp; @echo Script  ejecutado en la Base de datos UEIHNE01/SQLEXPRESS/BDHIS_MINSA</v>
      </c>
    </row>
    <row r="105" spans="1:9" ht="43.5" customHeight="1" thickBot="1" x14ac:dyDescent="0.25">
      <c r="A105" s="4" t="s">
        <v>63</v>
      </c>
      <c r="B105" s="4" t="str">
        <f>IF(MENU!$B$6="","INGRESE SERVIDOR",MENU!$B$6)</f>
        <v>UEIHNE01</v>
      </c>
      <c r="C105" s="13" t="str">
        <f>IF(MENU!$D$6="","",MENU!$D$6)</f>
        <v>SQLEXPRESS</v>
      </c>
      <c r="D105" s="5" t="str">
        <f>IF(MENU!$C$6="","INGRESE BASE",MENU!$C$6)</f>
        <v>BDHIS_MINSA</v>
      </c>
      <c r="E105" s="13" t="str">
        <f>IF(MENU!$C$9="","",MENU!$C$9)</f>
        <v/>
      </c>
      <c r="F105" s="13" t="str">
        <f>IF(MENU!$D$9="","",MENU!$D$9)</f>
        <v/>
      </c>
      <c r="G105" s="16" t="s">
        <v>225</v>
      </c>
      <c r="H105" s="5" t="str">
        <f t="shared" si="2"/>
        <v>@echo Script  ejecutado en la Base de datos UEIHNE01/SQLEXPRESS/BDHIS_MINSA</v>
      </c>
      <c r="I105" s="4" t="str">
        <f>IF(OR(E105="",F105=""),IF(C105="",IF(G105="","",(CONCATENATE("sqlcmd -E -S ",B105," -d ",D105," -i ",MENU!$E$6,A105,"\",G105,".sql -o ",MENU!$B$9,G105, ".txt &amp; ",H105))),IF(G105="","",(CONCATENATE("sqlcmd -E -S ",B105,"\",C105," -d ",D105," -i ",MENU!$E$6,A105,"\",G105,".sql -o ",MENU!$B$9,G105, ".txt &amp; ",H105)))),IF(C105="",IF(G105="","",(CONCATENATE("sqlcmd -S ",B105," -d ",D105," -U ",E105," -P ",F105," -i ",MENU!$E$6,A105,"\",G105,".sql -o ",MENU!$B$9,G105, ".txt &amp; ",H105))),IF(G105="","",(CONCATENATE("sqlcmd -S ",B105,"\",C105," -d ",D105," -U ",E105," -P ",F105," -i ",MENU!$E$6,A105,"\",G105,".sql -o ",MENU!$B$9,G105, ".txt &amp; ",H105)))))</f>
        <v>sqlcmd -E -S UEIHNE01\SQLEXPRESS -d BDHIS_MINSA -i C:\HISMINSA\Scripts\ESNI\dbo.TRAMA_BASE_ESNI_RPT_02_REPORTE_B_CONSOLIDADO.Table.sql -o C:\HISMINSA\Resultados\dbo.TRAMA_BASE_ESNI_RPT_02_REPORTE_B_CONSOLIDADO.Table.txt &amp; @echo Script  ejecutado en la Base de datos UEIHNE01/SQLEXPRESS/BDHIS_MINSA</v>
      </c>
    </row>
    <row r="106" spans="1:9" ht="43.5" customHeight="1" thickBot="1" x14ac:dyDescent="0.25">
      <c r="A106" s="4" t="s">
        <v>63</v>
      </c>
      <c r="B106" s="4" t="str">
        <f>IF(MENU!$B$6="","INGRESE SERVIDOR",MENU!$B$6)</f>
        <v>UEIHNE01</v>
      </c>
      <c r="C106" s="13" t="str">
        <f>IF(MENU!$D$6="","",MENU!$D$6)</f>
        <v>SQLEXPRESS</v>
      </c>
      <c r="D106" s="5" t="str">
        <f>IF(MENU!$C$6="","INGRESE BASE",MENU!$C$6)</f>
        <v>BDHIS_MINSA</v>
      </c>
      <c r="E106" s="13" t="str">
        <f>IF(MENU!$C$9="","",MENU!$C$9)</f>
        <v/>
      </c>
      <c r="F106" s="13" t="str">
        <f>IF(MENU!$D$9="","",MENU!$D$9)</f>
        <v/>
      </c>
      <c r="G106" s="16" t="s">
        <v>226</v>
      </c>
      <c r="H106" s="5" t="str">
        <f t="shared" si="2"/>
        <v>@echo Script  ejecutado en la Base de datos UEIHNE01/SQLEXPRESS/BDHIS_MINSA</v>
      </c>
      <c r="I106" s="4" t="str">
        <f>IF(OR(E106="",F106=""),IF(C106="",IF(G106="","",(CONCATENATE("sqlcmd -E -S ",B106," -d ",D106," -i ",MENU!$E$6,A106,"\",G106,".sql -o ",MENU!$B$9,G106, ".txt &amp; ",H106))),IF(G106="","",(CONCATENATE("sqlcmd -E -S ",B106,"\",C106," -d ",D106," -i ",MENU!$E$6,A106,"\",G106,".sql -o ",MENU!$B$9,G106, ".txt &amp; ",H106)))),IF(C106="",IF(G106="","",(CONCATENATE("sqlcmd -S ",B106," -d ",D106," -U ",E106," -P ",F106," -i ",MENU!$E$6,A106,"\",G106,".sql -o ",MENU!$B$9,G106, ".txt &amp; ",H106))),IF(G106="","",(CONCATENATE("sqlcmd -S ",B106,"\",C106," -d ",D106," -U ",E106," -P ",F106," -i ",MENU!$E$6,A106,"\",G106,".sql -o ",MENU!$B$9,G106, ".txt &amp; ",H106)))))</f>
        <v>sqlcmd -E -S UEIHNE01\SQLEXPRESS -d BDHIS_MINSA -i C:\HISMINSA\Scripts\ESNI\dbo.TRAMA_BASE_ESNI_RPT_02_REPORTE_B_NOMINAL.Table.sql -o C:\HISMINSA\Resultados\dbo.TRAMA_BASE_ESNI_RPT_02_REPORTE_B_NOMINAL.Table.txt &amp; @echo Script  ejecutado en la Base de datos UEIHNE01/SQLEXPRESS/BDHIS_MINSA</v>
      </c>
    </row>
    <row r="107" spans="1:9" ht="43.5" customHeight="1" thickBot="1" x14ac:dyDescent="0.25">
      <c r="A107" s="4" t="s">
        <v>63</v>
      </c>
      <c r="B107" s="4" t="str">
        <f>IF(MENU!$B$6="","INGRESE SERVIDOR",MENU!$B$6)</f>
        <v>UEIHNE01</v>
      </c>
      <c r="C107" s="13" t="str">
        <f>IF(MENU!$D$6="","",MENU!$D$6)</f>
        <v>SQLEXPRESS</v>
      </c>
      <c r="D107" s="5" t="str">
        <f>IF(MENU!$C$6="","INGRESE BASE",MENU!$C$6)</f>
        <v>BDHIS_MINSA</v>
      </c>
      <c r="E107" s="13" t="str">
        <f>IF(MENU!$C$9="","",MENU!$C$9)</f>
        <v/>
      </c>
      <c r="F107" s="13" t="str">
        <f>IF(MENU!$D$9="","",MENU!$D$9)</f>
        <v/>
      </c>
      <c r="G107" s="16" t="s">
        <v>227</v>
      </c>
      <c r="H107" s="5" t="str">
        <f t="shared" si="2"/>
        <v>@echo Script  ejecutado en la Base de datos UEIHNE01/SQLEXPRESS/BDHIS_MINSA</v>
      </c>
      <c r="I107" s="4" t="str">
        <f>IF(OR(E107="",F107=""),IF(C107="",IF(G107="","",(CONCATENATE("sqlcmd -E -S ",B107," -d ",D107," -i ",MENU!$E$6,A107,"\",G107,".sql -o ",MENU!$B$9,G107, ".txt &amp; ",H107))),IF(G107="","",(CONCATENATE("sqlcmd -E -S ",B107,"\",C107," -d ",D107," -i ",MENU!$E$6,A107,"\",G107,".sql -o ",MENU!$B$9,G107, ".txt &amp; ",H107)))),IF(C107="",IF(G107="","",(CONCATENATE("sqlcmd -S ",B107," -d ",D107," -U ",E107," -P ",F107," -i ",MENU!$E$6,A107,"\",G107,".sql -o ",MENU!$B$9,G107, ".txt &amp; ",H107))),IF(G107="","",(CONCATENATE("sqlcmd -S ",B107,"\",C107," -d ",D107," -U ",E107," -P ",F107," -i ",MENU!$E$6,A107,"\",G107,".sql -o ",MENU!$B$9,G107, ".txt &amp; ",H107)))))</f>
        <v>sqlcmd -E -S UEIHNE01\SQLEXPRESS -d BDHIS_MINSA -i C:\HISMINSA\Scripts\ESNI\dbo.TRAMA_BASE_ESNI_RPT_03_REPORTE_C_CONSOLIDADO.Table.sql -o C:\HISMINSA\Resultados\dbo.TRAMA_BASE_ESNI_RPT_03_REPORTE_C_CONSOLIDADO.Table.txt &amp; @echo Script  ejecutado en la Base de datos UEIHNE01/SQLEXPRESS/BDHIS_MINSA</v>
      </c>
    </row>
    <row r="108" spans="1:9" ht="43.5" customHeight="1" thickBot="1" x14ac:dyDescent="0.25">
      <c r="A108" s="4" t="s">
        <v>63</v>
      </c>
      <c r="B108" s="4" t="str">
        <f>IF(MENU!$B$6="","INGRESE SERVIDOR",MENU!$B$6)</f>
        <v>UEIHNE01</v>
      </c>
      <c r="C108" s="13" t="str">
        <f>IF(MENU!$D$6="","",MENU!$D$6)</f>
        <v>SQLEXPRESS</v>
      </c>
      <c r="D108" s="5" t="str">
        <f>IF(MENU!$C$6="","INGRESE BASE",MENU!$C$6)</f>
        <v>BDHIS_MINSA</v>
      </c>
      <c r="E108" s="13" t="str">
        <f>IF(MENU!$C$9="","",MENU!$C$9)</f>
        <v/>
      </c>
      <c r="F108" s="13" t="str">
        <f>IF(MENU!$D$9="","",MENU!$D$9)</f>
        <v/>
      </c>
      <c r="G108" s="16" t="s">
        <v>228</v>
      </c>
      <c r="H108" s="5" t="str">
        <f t="shared" si="2"/>
        <v>@echo Script  ejecutado en la Base de datos UEIHNE01/SQLEXPRESS/BDHIS_MINSA</v>
      </c>
      <c r="I108" s="4" t="str">
        <f>IF(OR(E108="",F108=""),IF(C108="",IF(G108="","",(CONCATENATE("sqlcmd -E -S ",B108," -d ",D108," -i ",MENU!$E$6,A108,"\",G108,".sql -o ",MENU!$B$9,G108, ".txt &amp; ",H108))),IF(G108="","",(CONCATENATE("sqlcmd -E -S ",B108,"\",C108," -d ",D108," -i ",MENU!$E$6,A108,"\",G108,".sql -o ",MENU!$B$9,G108, ".txt &amp; ",H108)))),IF(C108="",IF(G108="","",(CONCATENATE("sqlcmd -S ",B108," -d ",D108," -U ",E108," -P ",F108," -i ",MENU!$E$6,A108,"\",G108,".sql -o ",MENU!$B$9,G108, ".txt &amp; ",H108))),IF(G108="","",(CONCATENATE("sqlcmd -S ",B108,"\",C108," -d ",D108," -U ",E108," -P ",F108," -i ",MENU!$E$6,A108,"\",G108,".sql -o ",MENU!$B$9,G108, ".txt &amp; ",H108)))))</f>
        <v>sqlcmd -E -S UEIHNE01\SQLEXPRESS -d BDHIS_MINSA -i C:\HISMINSA\Scripts\ESNI\dbo.TRAMA_BASE_ESNI_RPT_03_REPORTE_C_NOMINAL.Table.sql -o C:\HISMINSA\Resultados\dbo.TRAMA_BASE_ESNI_RPT_03_REPORTE_C_NOMINAL.Table.txt &amp; @echo Script  ejecutado en la Base de datos UEIHNE01/SQLEXPRESS/BDHIS_MINSA</v>
      </c>
    </row>
    <row r="109" spans="1:9" ht="43.5" customHeight="1" thickBot="1" x14ac:dyDescent="0.25">
      <c r="A109" s="4" t="s">
        <v>63</v>
      </c>
      <c r="B109" s="4" t="str">
        <f>IF(MENU!$B$6="","INGRESE SERVIDOR",MENU!$B$6)</f>
        <v>UEIHNE01</v>
      </c>
      <c r="C109" s="13" t="str">
        <f>IF(MENU!$D$6="","",MENU!$D$6)</f>
        <v>SQLEXPRESS</v>
      </c>
      <c r="D109" s="5" t="str">
        <f>IF(MENU!$C$6="","INGRESE BASE",MENU!$C$6)</f>
        <v>BDHIS_MINSA</v>
      </c>
      <c r="E109" s="13" t="str">
        <f>IF(MENU!$C$9="","",MENU!$C$9)</f>
        <v/>
      </c>
      <c r="F109" s="13" t="str">
        <f>IF(MENU!$D$9="","",MENU!$D$9)</f>
        <v/>
      </c>
      <c r="G109" s="16" t="s">
        <v>229</v>
      </c>
      <c r="H109" s="5" t="str">
        <f t="shared" si="2"/>
        <v>@echo Script  ejecutado en la Base de datos UEIHNE01/SQLEXPRESS/BDHIS_MINSA</v>
      </c>
      <c r="I109" s="4" t="str">
        <f>IF(OR(E109="",F109=""),IF(C109="",IF(G109="","",(CONCATENATE("sqlcmd -E -S ",B109," -d ",D109," -i ",MENU!$E$6,A109,"\",G109,".sql -o ",MENU!$B$9,G109, ".txt &amp; ",H109))),IF(G109="","",(CONCATENATE("sqlcmd -E -S ",B109,"\",C109," -d ",D109," -i ",MENU!$E$6,A109,"\",G109,".sql -o ",MENU!$B$9,G109, ".txt &amp; ",H109)))),IF(C109="",IF(G109="","",(CONCATENATE("sqlcmd -S ",B109," -d ",D109," -U ",E109," -P ",F109," -i ",MENU!$E$6,A109,"\",G109,".sql -o ",MENU!$B$9,G109, ".txt &amp; ",H109))),IF(G109="","",(CONCATENATE("sqlcmd -S ",B109,"\",C109," -d ",D109," -U ",E109," -P ",F109," -i ",MENU!$E$6,A109,"\",G109,".sql -o ",MENU!$B$9,G109, ".txt &amp; ",H109)))))</f>
        <v>sqlcmd -E -S UEIHNE01\SQLEXPRESS -d BDHIS_MINSA -i C:\HISMINSA\Scripts\ESNI\dbo.TRAMA_BASE_ESNI_RPT_04_REPORTE_H2_CONSOLIDADO.Table.sql -o C:\HISMINSA\Resultados\dbo.TRAMA_BASE_ESNI_RPT_04_REPORTE_H2_CONSOLIDADO.Table.txt &amp; @echo Script  ejecutado en la Base de datos UEIHNE01/SQLEXPRESS/BDHIS_MINSA</v>
      </c>
    </row>
    <row r="110" spans="1:9" ht="43.5" customHeight="1" thickBot="1" x14ac:dyDescent="0.25">
      <c r="A110" s="4" t="s">
        <v>63</v>
      </c>
      <c r="B110" s="4" t="str">
        <f>IF(MENU!$B$6="","INGRESE SERVIDOR",MENU!$B$6)</f>
        <v>UEIHNE01</v>
      </c>
      <c r="C110" s="13" t="str">
        <f>IF(MENU!$D$6="","",MENU!$D$6)</f>
        <v>SQLEXPRESS</v>
      </c>
      <c r="D110" s="5" t="str">
        <f>IF(MENU!$C$6="","INGRESE BASE",MENU!$C$6)</f>
        <v>BDHIS_MINSA</v>
      </c>
      <c r="E110" s="13" t="str">
        <f>IF(MENU!$C$9="","",MENU!$C$9)</f>
        <v/>
      </c>
      <c r="F110" s="13" t="str">
        <f>IF(MENU!$D$9="","",MENU!$D$9)</f>
        <v/>
      </c>
      <c r="G110" s="16" t="s">
        <v>230</v>
      </c>
      <c r="H110" s="5" t="str">
        <f t="shared" si="2"/>
        <v>@echo Script  ejecutado en la Base de datos UEIHNE01/SQLEXPRESS/BDHIS_MINSA</v>
      </c>
      <c r="I110" s="4" t="str">
        <f>IF(OR(E110="",F110=""),IF(C110="",IF(G110="","",(CONCATENATE("sqlcmd -E -S ",B110," -d ",D110," -i ",MENU!$E$6,A110,"\",G110,".sql -o ",MENU!$B$9,G110, ".txt &amp; ",H110))),IF(G110="","",(CONCATENATE("sqlcmd -E -S ",B110,"\",C110," -d ",D110," -i ",MENU!$E$6,A110,"\",G110,".sql -o ",MENU!$B$9,G110, ".txt &amp; ",H110)))),IF(C110="",IF(G110="","",(CONCATENATE("sqlcmd -S ",B110," -d ",D110," -U ",E110," -P ",F110," -i ",MENU!$E$6,A110,"\",G110,".sql -o ",MENU!$B$9,G110, ".txt &amp; ",H110))),IF(G110="","",(CONCATENATE("sqlcmd -S ",B110,"\",C110," -d ",D110," -U ",E110," -P ",F110," -i ",MENU!$E$6,A110,"\",G110,".sql -o ",MENU!$B$9,G110, ".txt &amp; ",H110)))))</f>
        <v>sqlcmd -E -S UEIHNE01\SQLEXPRESS -d BDHIS_MINSA -i C:\HISMINSA\Scripts\ESNI\dbo.TRAMA_BASE_ESNI_RPT_04_REPORTE_H2_NOMINAL.Table.sql -o C:\HISMINSA\Resultados\dbo.TRAMA_BASE_ESNI_RPT_04_REPORTE_H2_NOMINAL.Table.txt &amp; @echo Script  ejecutado en la Base de datos UEIHNE01/SQLEXPRESS/BDHIS_MINSA</v>
      </c>
    </row>
    <row r="111" spans="1:9" ht="43.5" customHeight="1" thickBot="1" x14ac:dyDescent="0.25">
      <c r="A111" s="4" t="s">
        <v>63</v>
      </c>
      <c r="B111" s="4" t="str">
        <f>IF(MENU!$B$6="","INGRESE SERVIDOR",MENU!$B$6)</f>
        <v>UEIHNE01</v>
      </c>
      <c r="C111" s="13" t="str">
        <f>IF(MENU!$D$6="","",MENU!$D$6)</f>
        <v>SQLEXPRESS</v>
      </c>
      <c r="D111" s="5" t="str">
        <f>IF(MENU!$C$6="","INGRESE BASE",MENU!$C$6)</f>
        <v>BDHIS_MINSA</v>
      </c>
      <c r="E111" s="13" t="str">
        <f>IF(MENU!$C$9="","",MENU!$C$9)</f>
        <v/>
      </c>
      <c r="F111" s="13" t="str">
        <f>IF(MENU!$D$9="","",MENU!$D$9)</f>
        <v/>
      </c>
      <c r="G111" s="16" t="s">
        <v>231</v>
      </c>
      <c r="H111" s="5" t="str">
        <f t="shared" si="2"/>
        <v>@echo Script  ejecutado en la Base de datos UEIHNE01/SQLEXPRESS/BDHIS_MINSA</v>
      </c>
      <c r="I111" s="4" t="str">
        <f>IF(OR(E111="",F111=""),IF(C111="",IF(G111="","",(CONCATENATE("sqlcmd -E -S ",B111," -d ",D111," -i ",MENU!$E$6,A111,"\",G111,".sql -o ",MENU!$B$9,G111, ".txt &amp; ",H111))),IF(G111="","",(CONCATENATE("sqlcmd -E -S ",B111,"\",C111," -d ",D111," -i ",MENU!$E$6,A111,"\",G111,".sql -o ",MENU!$B$9,G111, ".txt &amp; ",H111)))),IF(C111="",IF(G111="","",(CONCATENATE("sqlcmd -S ",B111," -d ",D111," -U ",E111," -P ",F111," -i ",MENU!$E$6,A111,"\",G111,".sql -o ",MENU!$B$9,G111, ".txt &amp; ",H111))),IF(G111="","",(CONCATENATE("sqlcmd -S ",B111,"\",C111," -d ",D111," -U ",E111," -P ",F111," -i ",MENU!$E$6,A111,"\",G111,".sql -o ",MENU!$B$9,G111, ".txt &amp; ",H111)))))</f>
        <v>sqlcmd -E -S UEIHNE01\SQLEXPRESS -d BDHIS_MINSA -i C:\HISMINSA\Scripts\ESNI\dbo.TRAMA_BASE_ESNI_RPT_04_REPORTE_H_CONSOLIDADO.Table.sql -o C:\HISMINSA\Resultados\dbo.TRAMA_BASE_ESNI_RPT_04_REPORTE_H_CONSOLIDADO.Table.txt &amp; @echo Script  ejecutado en la Base de datos UEIHNE01/SQLEXPRESS/BDHIS_MINSA</v>
      </c>
    </row>
    <row r="112" spans="1:9" ht="43.5" customHeight="1" thickBot="1" x14ac:dyDescent="0.25">
      <c r="A112" s="4" t="s">
        <v>63</v>
      </c>
      <c r="B112" s="4" t="str">
        <f>IF(MENU!$B$6="","INGRESE SERVIDOR",MENU!$B$6)</f>
        <v>UEIHNE01</v>
      </c>
      <c r="C112" s="13" t="str">
        <f>IF(MENU!$D$6="","",MENU!$D$6)</f>
        <v>SQLEXPRESS</v>
      </c>
      <c r="D112" s="5" t="str">
        <f>IF(MENU!$C$6="","INGRESE BASE",MENU!$C$6)</f>
        <v>BDHIS_MINSA</v>
      </c>
      <c r="E112" s="13" t="str">
        <f>IF(MENU!$C$9="","",MENU!$C$9)</f>
        <v/>
      </c>
      <c r="F112" s="13" t="str">
        <f>IF(MENU!$D$9="","",MENU!$D$9)</f>
        <v/>
      </c>
      <c r="G112" s="16" t="s">
        <v>232</v>
      </c>
      <c r="H112" s="5" t="str">
        <f t="shared" si="2"/>
        <v>@echo Script  ejecutado en la Base de datos UEIHNE01/SQLEXPRESS/BDHIS_MINSA</v>
      </c>
      <c r="I112" s="4" t="str">
        <f>IF(OR(E112="",F112=""),IF(C112="",IF(G112="","",(CONCATENATE("sqlcmd -E -S ",B112," -d ",D112," -i ",MENU!$E$6,A112,"\",G112,".sql -o ",MENU!$B$9,G112, ".txt &amp; ",H112))),IF(G112="","",(CONCATENATE("sqlcmd -E -S ",B112,"\",C112," -d ",D112," -i ",MENU!$E$6,A112,"\",G112,".sql -o ",MENU!$B$9,G112, ".txt &amp; ",H112)))),IF(C112="",IF(G112="","",(CONCATENATE("sqlcmd -S ",B112," -d ",D112," -U ",E112," -P ",F112," -i ",MENU!$E$6,A112,"\",G112,".sql -o ",MENU!$B$9,G112, ".txt &amp; ",H112))),IF(G112="","",(CONCATENATE("sqlcmd -S ",B112,"\",C112," -d ",D112," -U ",E112," -P ",F112," -i ",MENU!$E$6,A112,"\",G112,".sql -o ",MENU!$B$9,G112, ".txt &amp; ",H112)))))</f>
        <v>sqlcmd -E -S UEIHNE01\SQLEXPRESS -d BDHIS_MINSA -i C:\HISMINSA\Scripts\ESNI\dbo.TRAMA_BASE_ESNI_RPT_04_REPORTE_H_NOMINAL.Table.sql -o C:\HISMINSA\Resultados\dbo.TRAMA_BASE_ESNI_RPT_04_REPORTE_H_NOMINAL.Table.txt &amp; @echo Script  ejecutado en la Base de datos UEIHNE01/SQLEXPRESS/BDHIS_MINSA</v>
      </c>
    </row>
    <row r="113" spans="1:9" ht="43.5" customHeight="1" thickBot="1" x14ac:dyDescent="0.25">
      <c r="A113" s="4" t="s">
        <v>63</v>
      </c>
      <c r="B113" s="4" t="str">
        <f>IF(MENU!$B$6="","INGRESE SERVIDOR",MENU!$B$6)</f>
        <v>UEIHNE01</v>
      </c>
      <c r="C113" s="13" t="str">
        <f>IF(MENU!$D$6="","",MENU!$D$6)</f>
        <v>SQLEXPRESS</v>
      </c>
      <c r="D113" s="5" t="str">
        <f>IF(MENU!$C$6="","INGRESE BASE",MENU!$C$6)</f>
        <v>BDHIS_MINSA</v>
      </c>
      <c r="E113" s="13" t="str">
        <f>IF(MENU!$C$9="","",MENU!$C$9)</f>
        <v/>
      </c>
      <c r="F113" s="13" t="str">
        <f>IF(MENU!$D$9="","",MENU!$D$9)</f>
        <v/>
      </c>
      <c r="G113" s="16" t="s">
        <v>233</v>
      </c>
      <c r="H113" s="5" t="str">
        <f t="shared" si="2"/>
        <v>@echo Script  ejecutado en la Base de datos UEIHNE01/SQLEXPRESS/BDHIS_MINSA</v>
      </c>
      <c r="I113" s="4" t="str">
        <f>IF(OR(E113="",F113=""),IF(C113="",IF(G113="","",(CONCATENATE("sqlcmd -E -S ",B113," -d ",D113," -i ",MENU!$E$6,A113,"\",G113,".sql -o ",MENU!$B$9,G113, ".txt &amp; ",H113))),IF(G113="","",(CONCATENATE("sqlcmd -E -S ",B113,"\",C113," -d ",D113," -i ",MENU!$E$6,A113,"\",G113,".sql -o ",MENU!$B$9,G113, ".txt &amp; ",H113)))),IF(C113="",IF(G113="","",(CONCATENATE("sqlcmd -S ",B113," -d ",D113," -U ",E113," -P ",F113," -i ",MENU!$E$6,A113,"\",G113,".sql -o ",MENU!$B$9,G113, ".txt &amp; ",H113))),IF(G113="","",(CONCATENATE("sqlcmd -S ",B113,"\",C113," -d ",D113," -U ",E113," -P ",F113," -i ",MENU!$E$6,A113,"\",G113,".sql -o ",MENU!$B$9,G113, ".txt &amp; ",H113)))))</f>
        <v>sqlcmd -E -S UEIHNE01\SQLEXPRESS -d BDHIS_MINSA -i C:\HISMINSA\Scripts\ESNI\dbo.TRAMA_BASE_ESNI_RPT_04_REPORTE_I_CONSOLIDADO.Table.sql -o C:\HISMINSA\Resultados\dbo.TRAMA_BASE_ESNI_RPT_04_REPORTE_I_CONSOLIDADO.Table.txt &amp; @echo Script  ejecutado en la Base de datos UEIHNE01/SQLEXPRESS/BDHIS_MINSA</v>
      </c>
    </row>
    <row r="114" spans="1:9" ht="43.5" customHeight="1" thickBot="1" x14ac:dyDescent="0.25">
      <c r="A114" s="4" t="s">
        <v>63</v>
      </c>
      <c r="B114" s="4" t="str">
        <f>IF(MENU!$B$6="","INGRESE SERVIDOR",MENU!$B$6)</f>
        <v>UEIHNE01</v>
      </c>
      <c r="C114" s="13" t="str">
        <f>IF(MENU!$D$6="","",MENU!$D$6)</f>
        <v>SQLEXPRESS</v>
      </c>
      <c r="D114" s="5" t="str">
        <f>IF(MENU!$C$6="","INGRESE BASE",MENU!$C$6)</f>
        <v>BDHIS_MINSA</v>
      </c>
      <c r="E114" s="13" t="str">
        <f>IF(MENU!$C$9="","",MENU!$C$9)</f>
        <v/>
      </c>
      <c r="F114" s="13" t="str">
        <f>IF(MENU!$D$9="","",MENU!$D$9)</f>
        <v/>
      </c>
      <c r="G114" s="16" t="s">
        <v>234</v>
      </c>
      <c r="H114" s="5" t="str">
        <f t="shared" si="2"/>
        <v>@echo Script  ejecutado en la Base de datos UEIHNE01/SQLEXPRESS/BDHIS_MINSA</v>
      </c>
      <c r="I114" s="4" t="str">
        <f>IF(OR(E114="",F114=""),IF(C114="",IF(G114="","",(CONCATENATE("sqlcmd -E -S ",B114," -d ",D114," -i ",MENU!$E$6,A114,"\",G114,".sql -o ",MENU!$B$9,G114, ".txt &amp; ",H114))),IF(G114="","",(CONCATENATE("sqlcmd -E -S ",B114,"\",C114," -d ",D114," -i ",MENU!$E$6,A114,"\",G114,".sql -o ",MENU!$B$9,G114, ".txt &amp; ",H114)))),IF(C114="",IF(G114="","",(CONCATENATE("sqlcmd -S ",B114," -d ",D114," -U ",E114," -P ",F114," -i ",MENU!$E$6,A114,"\",G114,".sql -o ",MENU!$B$9,G114, ".txt &amp; ",H114))),IF(G114="","",(CONCATENATE("sqlcmd -S ",B114,"\",C114," -d ",D114," -U ",E114," -P ",F114," -i ",MENU!$E$6,A114,"\",G114,".sql -o ",MENU!$B$9,G114, ".txt &amp; ",H114)))))</f>
        <v>sqlcmd -E -S UEIHNE01\SQLEXPRESS -d BDHIS_MINSA -i C:\HISMINSA\Scripts\ESNI\dbo.TRAMA_BASE_ESNI_RPT_04_REPORTE_I_NOMINAL.Table.sql -o C:\HISMINSA\Resultados\dbo.TRAMA_BASE_ESNI_RPT_04_REPORTE_I_NOMINAL.Table.txt &amp; @echo Script  ejecutado en la Base de datos UEIHNE01/SQLEXPRESS/BDHIS_MINSA</v>
      </c>
    </row>
    <row r="115" spans="1:9" ht="43.5" customHeight="1" thickBot="1" x14ac:dyDescent="0.25">
      <c r="A115" s="4" t="s">
        <v>63</v>
      </c>
      <c r="B115" s="4" t="str">
        <f>IF(MENU!$B$6="","INGRESE SERVIDOR",MENU!$B$6)</f>
        <v>UEIHNE01</v>
      </c>
      <c r="C115" s="13" t="str">
        <f>IF(MENU!$D$6="","",MENU!$D$6)</f>
        <v>SQLEXPRESS</v>
      </c>
      <c r="D115" s="5" t="str">
        <f>IF(MENU!$C$6="","INGRESE BASE",MENU!$C$6)</f>
        <v>BDHIS_MINSA</v>
      </c>
      <c r="E115" s="13" t="str">
        <f>IF(MENU!$C$9="","",MENU!$C$9)</f>
        <v/>
      </c>
      <c r="F115" s="13" t="str">
        <f>IF(MENU!$D$9="","",MENU!$D$9)</f>
        <v/>
      </c>
      <c r="G115" s="16" t="s">
        <v>235</v>
      </c>
      <c r="H115" s="5" t="str">
        <f t="shared" si="2"/>
        <v>@echo Script  ejecutado en la Base de datos UEIHNE01/SQLEXPRESS/BDHIS_MINSA</v>
      </c>
      <c r="I115" s="4" t="str">
        <f>IF(OR(E115="",F115=""),IF(C115="",IF(G115="","",(CONCATENATE("sqlcmd -E -S ",B115," -d ",D115," -i ",MENU!$E$6,A115,"\",G115,".sql -o ",MENU!$B$9,G115, ".txt &amp; ",H115))),IF(G115="","",(CONCATENATE("sqlcmd -E -S ",B115,"\",C115," -d ",D115," -i ",MENU!$E$6,A115,"\",G115,".sql -o ",MENU!$B$9,G115, ".txt &amp; ",H115)))),IF(C115="",IF(G115="","",(CONCATENATE("sqlcmd -S ",B115," -d ",D115," -U ",E115," -P ",F115," -i ",MENU!$E$6,A115,"\",G115,".sql -o ",MENU!$B$9,G115, ".txt &amp; ",H115))),IF(G115="","",(CONCATENATE("sqlcmd -S ",B115,"\",C115," -d ",D115," -U ",E115," -P ",F115," -i ",MENU!$E$6,A115,"\",G115,".sql -o ",MENU!$B$9,G115, ".txt &amp; ",H115)))))</f>
        <v>sqlcmd -E -S UEIHNE01\SQLEXPRESS -d BDHIS_MINSA -i C:\HISMINSA\Scripts\ESNI\dbo.TRAMA_BASE_ESNI_RPT_09_REPORTE_J_CONSOLIDADO.Table.sql -o C:\HISMINSA\Resultados\dbo.TRAMA_BASE_ESNI_RPT_09_REPORTE_J_CONSOLIDADO.Table.txt &amp; @echo Script  ejecutado en la Base de datos UEIHNE01/SQLEXPRESS/BDHIS_MINSA</v>
      </c>
    </row>
    <row r="116" spans="1:9" ht="43.5" customHeight="1" thickBot="1" x14ac:dyDescent="0.25">
      <c r="A116" s="4" t="s">
        <v>63</v>
      </c>
      <c r="B116" s="4" t="str">
        <f>IF(MENU!$B$6="","INGRESE SERVIDOR",MENU!$B$6)</f>
        <v>UEIHNE01</v>
      </c>
      <c r="C116" s="13" t="str">
        <f>IF(MENU!$D$6="","",MENU!$D$6)</f>
        <v>SQLEXPRESS</v>
      </c>
      <c r="D116" s="5" t="str">
        <f>IF(MENU!$C$6="","INGRESE BASE",MENU!$C$6)</f>
        <v>BDHIS_MINSA</v>
      </c>
      <c r="E116" s="13" t="str">
        <f>IF(MENU!$C$9="","",MENU!$C$9)</f>
        <v/>
      </c>
      <c r="F116" s="13" t="str">
        <f>IF(MENU!$D$9="","",MENU!$D$9)</f>
        <v/>
      </c>
      <c r="G116" s="16" t="s">
        <v>236</v>
      </c>
      <c r="H116" s="5" t="str">
        <f t="shared" si="2"/>
        <v>@echo Script  ejecutado en la Base de datos UEIHNE01/SQLEXPRESS/BDHIS_MINSA</v>
      </c>
      <c r="I116" s="4" t="str">
        <f>IF(OR(E116="",F116=""),IF(C116="",IF(G116="","",(CONCATENATE("sqlcmd -E -S ",B116," -d ",D116," -i ",MENU!$E$6,A116,"\",G116,".sql -o ",MENU!$B$9,G116, ".txt &amp; ",H116))),IF(G116="","",(CONCATENATE("sqlcmd -E -S ",B116,"\",C116," -d ",D116," -i ",MENU!$E$6,A116,"\",G116,".sql -o ",MENU!$B$9,G116, ".txt &amp; ",H116)))),IF(C116="",IF(G116="","",(CONCATENATE("sqlcmd -S ",B116," -d ",D116," -U ",E116," -P ",F116," -i ",MENU!$E$6,A116,"\",G116,".sql -o ",MENU!$B$9,G116, ".txt &amp; ",H116))),IF(G116="","",(CONCATENATE("sqlcmd -S ",B116,"\",C116," -d ",D116," -U ",E116," -P ",F116," -i ",MENU!$E$6,A116,"\",G116,".sql -o ",MENU!$B$9,G116, ".txt &amp; ",H116)))))</f>
        <v>sqlcmd -E -S UEIHNE01\SQLEXPRESS -d BDHIS_MINSA -i C:\HISMINSA\Scripts\ESNI\dbo.TRAMA_BASE_ESNI_RPT_09_REPORTE_J_NOMINAL.Table.sql -o C:\HISMINSA\Resultados\dbo.TRAMA_BASE_ESNI_RPT_09_REPORTE_J_NOMINAL.Table.txt &amp; @echo Script  ejecutado en la Base de datos UEIHNE01/SQLEXPRESS/BDHIS_MINSA</v>
      </c>
    </row>
    <row r="117" spans="1:9" ht="43.5" customHeight="1" thickBot="1" x14ac:dyDescent="0.25">
      <c r="A117" s="4" t="s">
        <v>63</v>
      </c>
      <c r="B117" s="4" t="str">
        <f>IF(MENU!$B$6="","INGRESE SERVIDOR",MENU!$B$6)</f>
        <v>UEIHNE01</v>
      </c>
      <c r="C117" s="13" t="str">
        <f>IF(MENU!$D$6="","",MENU!$D$6)</f>
        <v>SQLEXPRESS</v>
      </c>
      <c r="D117" s="5" t="str">
        <f>IF(MENU!$C$6="","INGRESE BASE",MENU!$C$6)</f>
        <v>BDHIS_MINSA</v>
      </c>
      <c r="E117" s="13" t="str">
        <f>IF(MENU!$C$9="","",MENU!$C$9)</f>
        <v/>
      </c>
      <c r="F117" s="13" t="str">
        <f>IF(MENU!$D$9="","",MENU!$D$9)</f>
        <v/>
      </c>
      <c r="G117" s="16" t="s">
        <v>237</v>
      </c>
      <c r="H117" s="5" t="str">
        <f t="shared" si="2"/>
        <v>@echo Script  ejecutado en la Base de datos UEIHNE01/SQLEXPRESS/BDHIS_MINSA</v>
      </c>
      <c r="I117" s="4" t="str">
        <f>IF(OR(E117="",F117=""),IF(C117="",IF(G117="","",(CONCATENATE("sqlcmd -E -S ",B117," -d ",D117," -i ",MENU!$E$6,A117,"\",G117,".sql -o ",MENU!$B$9,G117, ".txt &amp; ",H117))),IF(G117="","",(CONCATENATE("sqlcmd -E -S ",B117,"\",C117," -d ",D117," -i ",MENU!$E$6,A117,"\",G117,".sql -o ",MENU!$B$9,G117, ".txt &amp; ",H117)))),IF(C117="",IF(G117="","",(CONCATENATE("sqlcmd -S ",B117," -d ",D117," -U ",E117," -P ",F117," -i ",MENU!$E$6,A117,"\",G117,".sql -o ",MENU!$B$9,G117, ".txt &amp; ",H117))),IF(G117="","",(CONCATENATE("sqlcmd -S ",B117,"\",C117," -d ",D117," -U ",E117," -P ",F117," -i ",MENU!$E$6,A117,"\",G117,".sql -o ",MENU!$B$9,G117, ".txt &amp; ",H117)))))</f>
        <v>sqlcmd -E -S UEIHNE01\SQLEXPRESS -d BDHIS_MINSA -i C:\HISMINSA\Scripts\ESNI\dbo.TRAMA_BASE_ESNI_RPT_10_REPORTE_K_CONSOLIDADO.Table.sql -o C:\HISMINSA\Resultados\dbo.TRAMA_BASE_ESNI_RPT_10_REPORTE_K_CONSOLIDADO.Table.txt &amp; @echo Script  ejecutado en la Base de datos UEIHNE01/SQLEXPRESS/BDHIS_MINSA</v>
      </c>
    </row>
    <row r="118" spans="1:9" ht="43.5" customHeight="1" thickBot="1" x14ac:dyDescent="0.25">
      <c r="A118" s="4" t="s">
        <v>63</v>
      </c>
      <c r="B118" s="4" t="str">
        <f>IF(MENU!$B$6="","INGRESE SERVIDOR",MENU!$B$6)</f>
        <v>UEIHNE01</v>
      </c>
      <c r="C118" s="13" t="str">
        <f>IF(MENU!$D$6="","",MENU!$D$6)</f>
        <v>SQLEXPRESS</v>
      </c>
      <c r="D118" s="5" t="str">
        <f>IF(MENU!$C$6="","INGRESE BASE",MENU!$C$6)</f>
        <v>BDHIS_MINSA</v>
      </c>
      <c r="E118" s="13" t="str">
        <f>IF(MENU!$C$9="","",MENU!$C$9)</f>
        <v/>
      </c>
      <c r="F118" s="13" t="str">
        <f>IF(MENU!$D$9="","",MENU!$D$9)</f>
        <v/>
      </c>
      <c r="G118" s="16" t="s">
        <v>238</v>
      </c>
      <c r="H118" s="5" t="str">
        <f t="shared" si="2"/>
        <v>@echo Script  ejecutado en la Base de datos UEIHNE01/SQLEXPRESS/BDHIS_MINSA</v>
      </c>
      <c r="I118" s="4" t="str">
        <f>IF(OR(E118="",F118=""),IF(C118="",IF(G118="","",(CONCATENATE("sqlcmd -E -S ",B118," -d ",D118," -i ",MENU!$E$6,A118,"\",G118,".sql -o ",MENU!$B$9,G118, ".txt &amp; ",H118))),IF(G118="","",(CONCATENATE("sqlcmd -E -S ",B118,"\",C118," -d ",D118," -i ",MENU!$E$6,A118,"\",G118,".sql -o ",MENU!$B$9,G118, ".txt &amp; ",H118)))),IF(C118="",IF(G118="","",(CONCATENATE("sqlcmd -S ",B118," -d ",D118," -U ",E118," -P ",F118," -i ",MENU!$E$6,A118,"\",G118,".sql -o ",MENU!$B$9,G118, ".txt &amp; ",H118))),IF(G118="","",(CONCATENATE("sqlcmd -S ",B118,"\",C118," -d ",D118," -U ",E118," -P ",F118," -i ",MENU!$E$6,A118,"\",G118,".sql -o ",MENU!$B$9,G118, ".txt &amp; ",H118)))))</f>
        <v>sqlcmd -E -S UEIHNE01\SQLEXPRESS -d BDHIS_MINSA -i C:\HISMINSA\Scripts\ESNI\dbo.TRAMA_BASE_ESNI_RPT_10_REPORTE_K_NOMINAL.Table.sql -o C:\HISMINSA\Resultados\dbo.TRAMA_BASE_ESNI_RPT_10_REPORTE_K_NOMINAL.Table.txt &amp; @echo Script  ejecutado en la Base de datos UEIHNE01/SQLEXPRESS/BDHIS_MINSA</v>
      </c>
    </row>
    <row r="119" spans="1:9" ht="43.5" customHeight="1" thickBot="1" x14ac:dyDescent="0.25">
      <c r="A119" s="4" t="s">
        <v>63</v>
      </c>
      <c r="B119" s="4" t="str">
        <f>IF(MENU!$B$6="","INGRESE SERVIDOR",MENU!$B$6)</f>
        <v>UEIHNE01</v>
      </c>
      <c r="C119" s="13" t="str">
        <f>IF(MENU!$D$6="","",MENU!$D$6)</f>
        <v>SQLEXPRESS</v>
      </c>
      <c r="D119" s="5" t="str">
        <f>IF(MENU!$C$6="","INGRESE BASE",MENU!$C$6)</f>
        <v>BDHIS_MINSA</v>
      </c>
      <c r="E119" s="13" t="str">
        <f>IF(MENU!$C$9="","",MENU!$C$9)</f>
        <v/>
      </c>
      <c r="F119" s="13" t="str">
        <f>IF(MENU!$D$9="","",MENU!$D$9)</f>
        <v/>
      </c>
      <c r="G119" s="16" t="s">
        <v>239</v>
      </c>
      <c r="H119" s="5" t="str">
        <f t="shared" si="2"/>
        <v>@echo Script  ejecutado en la Base de datos UEIHNE01/SQLEXPRESS/BDHIS_MINSA</v>
      </c>
      <c r="I119" s="4" t="str">
        <f>IF(OR(E119="",F119=""),IF(C119="",IF(G119="","",(CONCATENATE("sqlcmd -E -S ",B119," -d ",D119," -i ",MENU!$E$6,A119,"\",G119,".sql -o ",MENU!$B$9,G119, ".txt &amp; ",H119))),IF(G119="","",(CONCATENATE("sqlcmd -E -S ",B119,"\",C119," -d ",D119," -i ",MENU!$E$6,A119,"\",G119,".sql -o ",MENU!$B$9,G119, ".txt &amp; ",H119)))),IF(C119="",IF(G119="","",(CONCATENATE("sqlcmd -S ",B119," -d ",D119," -U ",E119," -P ",F119," -i ",MENU!$E$6,A119,"\",G119,".sql -o ",MENU!$B$9,G119, ".txt &amp; ",H119))),IF(G119="","",(CONCATENATE("sqlcmd -S ",B119,"\",C119," -d ",D119," -U ",E119," -P ",F119," -i ",MENU!$E$6,A119,"\",G119,".sql -o ",MENU!$B$9,G119, ".txt &amp; ",H119)))))</f>
        <v>sqlcmd -E -S UEIHNE01\SQLEXPRESS -d BDHIS_MINSA -i C:\HISMINSA\Scripts\ESNI\dbo.TRAMA_BASE_ESNI_RPT_11_REPORTE_L_CONSOLIDADO.Table.sql -o C:\HISMINSA\Resultados\dbo.TRAMA_BASE_ESNI_RPT_11_REPORTE_L_CONSOLIDADO.Table.txt &amp; @echo Script  ejecutado en la Base de datos UEIHNE01/SQLEXPRESS/BDHIS_MINSA</v>
      </c>
    </row>
    <row r="120" spans="1:9" ht="43.5" customHeight="1" thickBot="1" x14ac:dyDescent="0.25">
      <c r="A120" s="4" t="s">
        <v>63</v>
      </c>
      <c r="B120" s="4" t="str">
        <f>IF(MENU!$B$6="","INGRESE SERVIDOR",MENU!$B$6)</f>
        <v>UEIHNE01</v>
      </c>
      <c r="C120" s="13" t="str">
        <f>IF(MENU!$D$6="","",MENU!$D$6)</f>
        <v>SQLEXPRESS</v>
      </c>
      <c r="D120" s="5" t="str">
        <f>IF(MENU!$C$6="","INGRESE BASE",MENU!$C$6)</f>
        <v>BDHIS_MINSA</v>
      </c>
      <c r="E120" s="13" t="str">
        <f>IF(MENU!$C$9="","",MENU!$C$9)</f>
        <v/>
      </c>
      <c r="F120" s="13" t="str">
        <f>IF(MENU!$D$9="","",MENU!$D$9)</f>
        <v/>
      </c>
      <c r="G120" s="16" t="s">
        <v>240</v>
      </c>
      <c r="H120" s="5" t="str">
        <f t="shared" si="2"/>
        <v>@echo Script  ejecutado en la Base de datos UEIHNE01/SQLEXPRESS/BDHIS_MINSA</v>
      </c>
      <c r="I120" s="4" t="str">
        <f>IF(OR(E120="",F120=""),IF(C120="",IF(G120="","",(CONCATENATE("sqlcmd -E -S ",B120," -d ",D120," -i ",MENU!$E$6,A120,"\",G120,".sql -o ",MENU!$B$9,G120, ".txt &amp; ",H120))),IF(G120="","",(CONCATENATE("sqlcmd -E -S ",B120,"\",C120," -d ",D120," -i ",MENU!$E$6,A120,"\",G120,".sql -o ",MENU!$B$9,G120, ".txt &amp; ",H120)))),IF(C120="",IF(G120="","",(CONCATENATE("sqlcmd -S ",B120," -d ",D120," -U ",E120," -P ",F120," -i ",MENU!$E$6,A120,"\",G120,".sql -o ",MENU!$B$9,G120, ".txt &amp; ",H120))),IF(G120="","",(CONCATENATE("sqlcmd -S ",B120,"\",C120," -d ",D120," -U ",E120," -P ",F120," -i ",MENU!$E$6,A120,"\",G120,".sql -o ",MENU!$B$9,G120, ".txt &amp; ",H120)))))</f>
        <v>sqlcmd -E -S UEIHNE01\SQLEXPRESS -d BDHIS_MINSA -i C:\HISMINSA\Scripts\ESNI\dbo.TRAMA_BASE_ESNI_RPT_11_REPORTE_L_NOMINAL.Table.sql -o C:\HISMINSA\Resultados\dbo.TRAMA_BASE_ESNI_RPT_11_REPORTE_L_NOMINAL.Table.txt &amp; @echo Script  ejecutado en la Base de datos UEIHNE01/SQLEXPRESS/BDHIS_MINSA</v>
      </c>
    </row>
    <row r="121" spans="1:9" ht="43.5" customHeight="1" thickBot="1" x14ac:dyDescent="0.25">
      <c r="A121" s="4" t="s">
        <v>63</v>
      </c>
      <c r="B121" s="4" t="str">
        <f>IF(MENU!$B$6="","INGRESE SERVIDOR",MENU!$B$6)</f>
        <v>UEIHNE01</v>
      </c>
      <c r="C121" s="13" t="str">
        <f>IF(MENU!$D$6="","",MENU!$D$6)</f>
        <v>SQLEXPRESS</v>
      </c>
      <c r="D121" s="5" t="str">
        <f>IF(MENU!$C$6="","INGRESE BASE",MENU!$C$6)</f>
        <v>BDHIS_MINSA</v>
      </c>
      <c r="E121" s="13" t="str">
        <f>IF(MENU!$C$9="","",MENU!$C$9)</f>
        <v/>
      </c>
      <c r="F121" s="13" t="str">
        <f>IF(MENU!$D$9="","",MENU!$D$9)</f>
        <v/>
      </c>
      <c r="G121" s="16" t="s">
        <v>241</v>
      </c>
      <c r="H121" s="5" t="str">
        <f t="shared" si="2"/>
        <v>@echo Script  ejecutado en la Base de datos UEIHNE01/SQLEXPRESS/BDHIS_MINSA</v>
      </c>
      <c r="I121" s="4" t="str">
        <f>IF(OR(E121="",F121=""),IF(C121="",IF(G121="","",(CONCATENATE("sqlcmd -E -S ",B121," -d ",D121," -i ",MENU!$E$6,A121,"\",G121,".sql -o ",MENU!$B$9,G121, ".txt &amp; ",H121))),IF(G121="","",(CONCATENATE("sqlcmd -E -S ",B121,"\",C121," -d ",D121," -i ",MENU!$E$6,A121,"\",G121,".sql -o ",MENU!$B$9,G121, ".txt &amp; ",H121)))),IF(C121="",IF(G121="","",(CONCATENATE("sqlcmd -S ",B121," -d ",D121," -U ",E121," -P ",F121," -i ",MENU!$E$6,A121,"\",G121,".sql -o ",MENU!$B$9,G121, ".txt &amp; ",H121))),IF(G121="","",(CONCATENATE("sqlcmd -S ",B121,"\",C121," -d ",D121," -U ",E121," -P ",F121," -i ",MENU!$E$6,A121,"\",G121,".sql -o ",MENU!$B$9,G121, ".txt &amp; ",H121)))))</f>
        <v>sqlcmd -E -S UEIHNE01\SQLEXPRESS -d BDHIS_MINSA -i C:\HISMINSA\Scripts\ESNI\dbo.TRAMA_BASE_ESNI_RPT_12_REPORTE_M_CONSOLIDADO.Table.sql -o C:\HISMINSA\Resultados\dbo.TRAMA_BASE_ESNI_RPT_12_REPORTE_M_CONSOLIDADO.Table.txt &amp; @echo Script  ejecutado en la Base de datos UEIHNE01/SQLEXPRESS/BDHIS_MINSA</v>
      </c>
    </row>
    <row r="122" spans="1:9" ht="43.5" customHeight="1" thickBot="1" x14ac:dyDescent="0.25">
      <c r="A122" s="4" t="s">
        <v>63</v>
      </c>
      <c r="B122" s="4" t="str">
        <f>IF(MENU!$B$6="","INGRESE SERVIDOR",MENU!$B$6)</f>
        <v>UEIHNE01</v>
      </c>
      <c r="C122" s="13" t="str">
        <f>IF(MENU!$D$6="","",MENU!$D$6)</f>
        <v>SQLEXPRESS</v>
      </c>
      <c r="D122" s="5" t="str">
        <f>IF(MENU!$C$6="","INGRESE BASE",MENU!$C$6)</f>
        <v>BDHIS_MINSA</v>
      </c>
      <c r="E122" s="13" t="str">
        <f>IF(MENU!$C$9="","",MENU!$C$9)</f>
        <v/>
      </c>
      <c r="F122" s="13" t="str">
        <f>IF(MENU!$D$9="","",MENU!$D$9)</f>
        <v/>
      </c>
      <c r="G122" s="16" t="s">
        <v>242</v>
      </c>
      <c r="H122" s="5" t="str">
        <f t="shared" si="2"/>
        <v>@echo Script  ejecutado en la Base de datos UEIHNE01/SQLEXPRESS/BDHIS_MINSA</v>
      </c>
      <c r="I122" s="4" t="str">
        <f>IF(OR(E122="",F122=""),IF(C122="",IF(G122="","",(CONCATENATE("sqlcmd -E -S ",B122," -d ",D122," -i ",MENU!$E$6,A122,"\",G122,".sql -o ",MENU!$B$9,G122, ".txt &amp; ",H122))),IF(G122="","",(CONCATENATE("sqlcmd -E -S ",B122,"\",C122," -d ",D122," -i ",MENU!$E$6,A122,"\",G122,".sql -o ",MENU!$B$9,G122, ".txt &amp; ",H122)))),IF(C122="",IF(G122="","",(CONCATENATE("sqlcmd -S ",B122," -d ",D122," -U ",E122," -P ",F122," -i ",MENU!$E$6,A122,"\",G122,".sql -o ",MENU!$B$9,G122, ".txt &amp; ",H122))),IF(G122="","",(CONCATENATE("sqlcmd -S ",B122,"\",C122," -d ",D122," -U ",E122," -P ",F122," -i ",MENU!$E$6,A122,"\",G122,".sql -o ",MENU!$B$9,G122, ".txt &amp; ",H122)))))</f>
        <v>sqlcmd -E -S UEIHNE01\SQLEXPRESS -d BDHIS_MINSA -i C:\HISMINSA\Scripts\ESNI\dbo.TRAMA_BASE_ESNI_RPT_12_REPORTE_M_NOMINAL.Table.sql -o C:\HISMINSA\Resultados\dbo.TRAMA_BASE_ESNI_RPT_12_REPORTE_M_NOMINAL.Table.txt &amp; @echo Script  ejecutado en la Base de datos UEIHNE01/SQLEXPRESS/BDHIS_MINSA</v>
      </c>
    </row>
    <row r="123" spans="1:9" ht="43.5" customHeight="1" thickBot="1" x14ac:dyDescent="0.25">
      <c r="A123" s="4" t="s">
        <v>63</v>
      </c>
      <c r="B123" s="4" t="str">
        <f>IF(MENU!$B$6="","INGRESE SERVIDOR",MENU!$B$6)</f>
        <v>UEIHNE01</v>
      </c>
      <c r="C123" s="13" t="str">
        <f>IF(MENU!$D$6="","",MENU!$D$6)</f>
        <v>SQLEXPRESS</v>
      </c>
      <c r="D123" s="5" t="str">
        <f>IF(MENU!$C$6="","INGRESE BASE",MENU!$C$6)</f>
        <v>BDHIS_MINSA</v>
      </c>
      <c r="E123" s="13" t="str">
        <f>IF(MENU!$C$9="","",MENU!$C$9)</f>
        <v/>
      </c>
      <c r="F123" s="13" t="str">
        <f>IF(MENU!$D$9="","",MENU!$D$9)</f>
        <v/>
      </c>
      <c r="G123" s="16" t="s">
        <v>243</v>
      </c>
      <c r="H123" s="5" t="str">
        <f t="shared" si="2"/>
        <v>@echo Script  ejecutado en la Base de datos UEIHNE01/SQLEXPRESS/BDHIS_MINSA</v>
      </c>
      <c r="I123" s="4" t="str">
        <f>IF(OR(E123="",F123=""),IF(C123="",IF(G123="","",(CONCATENATE("sqlcmd -E -S ",B123," -d ",D123," -i ",MENU!$E$6,A123,"\",G123,".sql -o ",MENU!$B$9,G123, ".txt &amp; ",H123))),IF(G123="","",(CONCATENATE("sqlcmd -E -S ",B123,"\",C123," -d ",D123," -i ",MENU!$E$6,A123,"\",G123,".sql -o ",MENU!$B$9,G123, ".txt &amp; ",H123)))),IF(C123="",IF(G123="","",(CONCATENATE("sqlcmd -S ",B123," -d ",D123," -U ",E123," -P ",F123," -i ",MENU!$E$6,A123,"\",G123,".sql -o ",MENU!$B$9,G123, ".txt &amp; ",H123))),IF(G123="","",(CONCATENATE("sqlcmd -S ",B123,"\",C123," -d ",D123," -U ",E123," -P ",F123," -i ",MENU!$E$6,A123,"\",G123,".sql -o ",MENU!$B$9,G123, ".txt &amp; ",H123)))))</f>
        <v>sqlcmd -E -S UEIHNE01\SQLEXPRESS -d BDHIS_MINSA -i C:\HISMINSA\Scripts\ESNI\dbo.TRAMA_BASE_ESNI_RPT_13_REPORTE_N1_CONSOLIDADO.Table.sql -o C:\HISMINSA\Resultados\dbo.TRAMA_BASE_ESNI_RPT_13_REPORTE_N1_CONSOLIDADO.Table.txt &amp; @echo Script  ejecutado en la Base de datos UEIHNE01/SQLEXPRESS/BDHIS_MINSA</v>
      </c>
    </row>
    <row r="124" spans="1:9" ht="43.5" customHeight="1" thickBot="1" x14ac:dyDescent="0.25">
      <c r="A124" s="4" t="s">
        <v>63</v>
      </c>
      <c r="B124" s="4" t="str">
        <f>IF(MENU!$B$6="","INGRESE SERVIDOR",MENU!$B$6)</f>
        <v>UEIHNE01</v>
      </c>
      <c r="C124" s="13" t="str">
        <f>IF(MENU!$D$6="","",MENU!$D$6)</f>
        <v>SQLEXPRESS</v>
      </c>
      <c r="D124" s="5" t="str">
        <f>IF(MENU!$C$6="","INGRESE BASE",MENU!$C$6)</f>
        <v>BDHIS_MINSA</v>
      </c>
      <c r="E124" s="13" t="str">
        <f>IF(MENU!$C$9="","",MENU!$C$9)</f>
        <v/>
      </c>
      <c r="F124" s="13" t="str">
        <f>IF(MENU!$D$9="","",MENU!$D$9)</f>
        <v/>
      </c>
      <c r="G124" s="16" t="s">
        <v>244</v>
      </c>
      <c r="H124" s="5" t="str">
        <f t="shared" si="2"/>
        <v>@echo Script  ejecutado en la Base de datos UEIHNE01/SQLEXPRESS/BDHIS_MINSA</v>
      </c>
      <c r="I124" s="4" t="str">
        <f>IF(OR(E124="",F124=""),IF(C124="",IF(G124="","",(CONCATENATE("sqlcmd -E -S ",B124," -d ",D124," -i ",MENU!$E$6,A124,"\",G124,".sql -o ",MENU!$B$9,G124, ".txt &amp; ",H124))),IF(G124="","",(CONCATENATE("sqlcmd -E -S ",B124,"\",C124," -d ",D124," -i ",MENU!$E$6,A124,"\",G124,".sql -o ",MENU!$B$9,G124, ".txt &amp; ",H124)))),IF(C124="",IF(G124="","",(CONCATENATE("sqlcmd -S ",B124," -d ",D124," -U ",E124," -P ",F124," -i ",MENU!$E$6,A124,"\",G124,".sql -o ",MENU!$B$9,G124, ".txt &amp; ",H124))),IF(G124="","",(CONCATENATE("sqlcmd -S ",B124,"\",C124," -d ",D124," -U ",E124," -P ",F124," -i ",MENU!$E$6,A124,"\",G124,".sql -o ",MENU!$B$9,G124, ".txt &amp; ",H124)))))</f>
        <v>sqlcmd -E -S UEIHNE01\SQLEXPRESS -d BDHIS_MINSA -i C:\HISMINSA\Scripts\ESNI\dbo.TRAMA_BASE_ESNI_RPT_13_REPORTE_N1_NOMINAL.Table.sql -o C:\HISMINSA\Resultados\dbo.TRAMA_BASE_ESNI_RPT_13_REPORTE_N1_NOMINAL.Table.txt &amp; @echo Script  ejecutado en la Base de datos UEIHNE01/SQLEXPRESS/BDHIS_MINSA</v>
      </c>
    </row>
    <row r="125" spans="1:9" ht="43.5" customHeight="1" thickBot="1" x14ac:dyDescent="0.25">
      <c r="A125" s="4" t="s">
        <v>63</v>
      </c>
      <c r="B125" s="4" t="str">
        <f>IF(MENU!$B$6="","INGRESE SERVIDOR",MENU!$B$6)</f>
        <v>UEIHNE01</v>
      </c>
      <c r="C125" s="13" t="str">
        <f>IF(MENU!$D$6="","",MENU!$D$6)</f>
        <v>SQLEXPRESS</v>
      </c>
      <c r="D125" s="5" t="str">
        <f>IF(MENU!$C$6="","INGRESE BASE",MENU!$C$6)</f>
        <v>BDHIS_MINSA</v>
      </c>
      <c r="E125" s="13" t="str">
        <f>IF(MENU!$C$9="","",MENU!$C$9)</f>
        <v/>
      </c>
      <c r="F125" s="13" t="str">
        <f>IF(MENU!$D$9="","",MENU!$D$9)</f>
        <v/>
      </c>
      <c r="G125" s="16" t="s">
        <v>245</v>
      </c>
      <c r="H125" s="5" t="str">
        <f t="shared" si="2"/>
        <v>@echo Script  ejecutado en la Base de datos UEIHNE01/SQLEXPRESS/BDHIS_MINSA</v>
      </c>
      <c r="I125" s="4" t="str">
        <f>IF(OR(E125="",F125=""),IF(C125="",IF(G125="","",(CONCATENATE("sqlcmd -E -S ",B125," -d ",D125," -i ",MENU!$E$6,A125,"\",G125,".sql -o ",MENU!$B$9,G125, ".txt &amp; ",H125))),IF(G125="","",(CONCATENATE("sqlcmd -E -S ",B125,"\",C125," -d ",D125," -i ",MENU!$E$6,A125,"\",G125,".sql -o ",MENU!$B$9,G125, ".txt &amp; ",H125)))),IF(C125="",IF(G125="","",(CONCATENATE("sqlcmd -S ",B125," -d ",D125," -U ",E125," -P ",F125," -i ",MENU!$E$6,A125,"\",G125,".sql -o ",MENU!$B$9,G125, ".txt &amp; ",H125))),IF(G125="","",(CONCATENATE("sqlcmd -S ",B125,"\",C125," -d ",D125," -U ",E125," -P ",F125," -i ",MENU!$E$6,A125,"\",G125,".sql -o ",MENU!$B$9,G125, ".txt &amp; ",H125)))))</f>
        <v>sqlcmd -E -S UEIHNE01\SQLEXPRESS -d BDHIS_MINSA -i C:\HISMINSA\Scripts\ESNI\dbo.TRAMA_BASE_ESNI_RPT_13_REPORTE_N_CONSOLIDADO.Table.sql -o C:\HISMINSA\Resultados\dbo.TRAMA_BASE_ESNI_RPT_13_REPORTE_N_CONSOLIDADO.Table.txt &amp; @echo Script  ejecutado en la Base de datos UEIHNE01/SQLEXPRESS/BDHIS_MINSA</v>
      </c>
    </row>
    <row r="126" spans="1:9" ht="43.5" customHeight="1" thickBot="1" x14ac:dyDescent="0.25">
      <c r="A126" s="4" t="s">
        <v>63</v>
      </c>
      <c r="B126" s="4" t="str">
        <f>IF(MENU!$B$6="","INGRESE SERVIDOR",MENU!$B$6)</f>
        <v>UEIHNE01</v>
      </c>
      <c r="C126" s="13" t="str">
        <f>IF(MENU!$D$6="","",MENU!$D$6)</f>
        <v>SQLEXPRESS</v>
      </c>
      <c r="D126" s="5" t="str">
        <f>IF(MENU!$C$6="","INGRESE BASE",MENU!$C$6)</f>
        <v>BDHIS_MINSA</v>
      </c>
      <c r="E126" s="13" t="str">
        <f>IF(MENU!$C$9="","",MENU!$C$9)</f>
        <v/>
      </c>
      <c r="F126" s="13" t="str">
        <f>IF(MENU!$D$9="","",MENU!$D$9)</f>
        <v/>
      </c>
      <c r="G126" s="16" t="s">
        <v>246</v>
      </c>
      <c r="H126" s="5" t="str">
        <f t="shared" si="2"/>
        <v>@echo Script  ejecutado en la Base de datos UEIHNE01/SQLEXPRESS/BDHIS_MINSA</v>
      </c>
      <c r="I126" s="4" t="str">
        <f>IF(OR(E126="",F126=""),IF(C126="",IF(G126="","",(CONCATENATE("sqlcmd -E -S ",B126," -d ",D126," -i ",MENU!$E$6,A126,"\",G126,".sql -o ",MENU!$B$9,G126, ".txt &amp; ",H126))),IF(G126="","",(CONCATENATE("sqlcmd -E -S ",B126,"\",C126," -d ",D126," -i ",MENU!$E$6,A126,"\",G126,".sql -o ",MENU!$B$9,G126, ".txt &amp; ",H126)))),IF(C126="",IF(G126="","",(CONCATENATE("sqlcmd -S ",B126," -d ",D126," -U ",E126," -P ",F126," -i ",MENU!$E$6,A126,"\",G126,".sql -o ",MENU!$B$9,G126, ".txt &amp; ",H126))),IF(G126="","",(CONCATENATE("sqlcmd -S ",B126,"\",C126," -d ",D126," -U ",E126," -P ",F126," -i ",MENU!$E$6,A126,"\",G126,".sql -o ",MENU!$B$9,G126, ".txt &amp; ",H126)))))</f>
        <v>sqlcmd -E -S UEIHNE01\SQLEXPRESS -d BDHIS_MINSA -i C:\HISMINSA\Scripts\ESNI\dbo.TRAMA_BASE_ESNI_RPT_13_REPORTE_N_NOMINAL.Table.sql -o C:\HISMINSA\Resultados\dbo.TRAMA_BASE_ESNI_RPT_13_REPORTE_N_NOMINAL.Table.txt &amp; @echo Script  ejecutado en la Base de datos UEIHNE01/SQLEXPRESS/BDHIS_MINSA</v>
      </c>
    </row>
    <row r="127" spans="1:9" ht="43.5" customHeight="1" thickBot="1" x14ac:dyDescent="0.25">
      <c r="A127" s="4" t="s">
        <v>63</v>
      </c>
      <c r="B127" s="4" t="str">
        <f>IF(MENU!$B$6="","INGRESE SERVIDOR",MENU!$B$6)</f>
        <v>UEIHNE01</v>
      </c>
      <c r="C127" s="13" t="str">
        <f>IF(MENU!$D$6="","",MENU!$D$6)</f>
        <v>SQLEXPRESS</v>
      </c>
      <c r="D127" s="5" t="str">
        <f>IF(MENU!$C$6="","INGRESE BASE",MENU!$C$6)</f>
        <v>BDHIS_MINSA</v>
      </c>
      <c r="E127" s="13" t="str">
        <f>IF(MENU!$C$9="","",MENU!$C$9)</f>
        <v/>
      </c>
      <c r="F127" s="13" t="str">
        <f>IF(MENU!$D$9="","",MENU!$D$9)</f>
        <v/>
      </c>
      <c r="G127" s="16" t="s">
        <v>247</v>
      </c>
      <c r="H127" s="5" t="str">
        <f t="shared" si="2"/>
        <v>@echo Script  ejecutado en la Base de datos UEIHNE01/SQLEXPRESS/BDHIS_MINSA</v>
      </c>
      <c r="I127" s="4" t="str">
        <f>IF(OR(E127="",F127=""),IF(C127="",IF(G127="","",(CONCATENATE("sqlcmd -E -S ",B127," -d ",D127," -i ",MENU!$E$6,A127,"\",G127,".sql -o ",MENU!$B$9,G127, ".txt &amp; ",H127))),IF(G127="","",(CONCATENATE("sqlcmd -E -S ",B127,"\",C127," -d ",D127," -i ",MENU!$E$6,A127,"\",G127,".sql -o ",MENU!$B$9,G127, ".txt &amp; ",H127)))),IF(C127="",IF(G127="","",(CONCATENATE("sqlcmd -S ",B127," -d ",D127," -U ",E127," -P ",F127," -i ",MENU!$E$6,A127,"\",G127,".sql -o ",MENU!$B$9,G127, ".txt &amp; ",H127))),IF(G127="","",(CONCATENATE("sqlcmd -S ",B127,"\",C127," -d ",D127," -U ",E127," -P ",F127," -i ",MENU!$E$6,A127,"\",G127,".sql -o ",MENU!$B$9,G127, ".txt &amp; ",H127)))))</f>
        <v>sqlcmd -E -S UEIHNE01\SQLEXPRESS -d BDHIS_MINSA -i C:\HISMINSA\Scripts\ESNI\dbo.TRAMA_BASE_ESNI_RPT_14_REPORTE_O_CONSOLIDADO.Table.sql -o C:\HISMINSA\Resultados\dbo.TRAMA_BASE_ESNI_RPT_14_REPORTE_O_CONSOLIDADO.Table.txt &amp; @echo Script  ejecutado en la Base de datos UEIHNE01/SQLEXPRESS/BDHIS_MINSA</v>
      </c>
    </row>
    <row r="128" spans="1:9" ht="43.5" customHeight="1" thickBot="1" x14ac:dyDescent="0.25">
      <c r="A128" s="4" t="s">
        <v>63</v>
      </c>
      <c r="B128" s="4" t="str">
        <f>IF(MENU!$B$6="","INGRESE SERVIDOR",MENU!$B$6)</f>
        <v>UEIHNE01</v>
      </c>
      <c r="C128" s="13" t="str">
        <f>IF(MENU!$D$6="","",MENU!$D$6)</f>
        <v>SQLEXPRESS</v>
      </c>
      <c r="D128" s="5" t="str">
        <f>IF(MENU!$C$6="","INGRESE BASE",MENU!$C$6)</f>
        <v>BDHIS_MINSA</v>
      </c>
      <c r="E128" s="13" t="str">
        <f>IF(MENU!$C$9="","",MENU!$C$9)</f>
        <v/>
      </c>
      <c r="F128" s="13" t="str">
        <f>IF(MENU!$D$9="","",MENU!$D$9)</f>
        <v/>
      </c>
      <c r="G128" s="16" t="s">
        <v>248</v>
      </c>
      <c r="H128" s="5" t="str">
        <f t="shared" si="2"/>
        <v>@echo Script  ejecutado en la Base de datos UEIHNE01/SQLEXPRESS/BDHIS_MINSA</v>
      </c>
      <c r="I128" s="4" t="str">
        <f>IF(OR(E128="",F128=""),IF(C128="",IF(G128="","",(CONCATENATE("sqlcmd -E -S ",B128," -d ",D128," -i ",MENU!$E$6,A128,"\",G128,".sql -o ",MENU!$B$9,G128, ".txt &amp; ",H128))),IF(G128="","",(CONCATENATE("sqlcmd -E -S ",B128,"\",C128," -d ",D128," -i ",MENU!$E$6,A128,"\",G128,".sql -o ",MENU!$B$9,G128, ".txt &amp; ",H128)))),IF(C128="",IF(G128="","",(CONCATENATE("sqlcmd -S ",B128," -d ",D128," -U ",E128," -P ",F128," -i ",MENU!$E$6,A128,"\",G128,".sql -o ",MENU!$B$9,G128, ".txt &amp; ",H128))),IF(G128="","",(CONCATENATE("sqlcmd -S ",B128,"\",C128," -d ",D128," -U ",E128," -P ",F128," -i ",MENU!$E$6,A128,"\",G128,".sql -o ",MENU!$B$9,G128, ".txt &amp; ",H128)))))</f>
        <v>sqlcmd -E -S UEIHNE01\SQLEXPRESS -d BDHIS_MINSA -i C:\HISMINSA\Scripts\ESNI\dbo.TRAMA_BASE_ESNI_RPT_14_REPORTE_O_NOMINAL.Table.sql -o C:\HISMINSA\Resultados\dbo.TRAMA_BASE_ESNI_RPT_14_REPORTE_O_NOMINAL.Table.txt &amp; @echo Script  ejecutado en la Base de datos UEIHNE01/SQLEXPRESS/BDHIS_MINSA</v>
      </c>
    </row>
    <row r="129" spans="1:9" ht="43.5" customHeight="1" thickBot="1" x14ac:dyDescent="0.25">
      <c r="A129" s="4" t="s">
        <v>63</v>
      </c>
      <c r="B129" s="4" t="str">
        <f>IF(MENU!$B$6="","INGRESE SERVIDOR",MENU!$B$6)</f>
        <v>UEIHNE01</v>
      </c>
      <c r="C129" s="13" t="str">
        <f>IF(MENU!$D$6="","",MENU!$D$6)</f>
        <v>SQLEXPRESS</v>
      </c>
      <c r="D129" s="5" t="str">
        <f>IF(MENU!$C$6="","INGRESE BASE",MENU!$C$6)</f>
        <v>BDHIS_MINSA</v>
      </c>
      <c r="E129" s="13" t="str">
        <f>IF(MENU!$C$9="","",MENU!$C$9)</f>
        <v/>
      </c>
      <c r="F129" s="13" t="str">
        <f>IF(MENU!$D$9="","",MENU!$D$9)</f>
        <v/>
      </c>
      <c r="G129" s="16" t="s">
        <v>249</v>
      </c>
      <c r="H129" s="5" t="str">
        <f t="shared" si="2"/>
        <v>@echo Script  ejecutado en la Base de datos UEIHNE01/SQLEXPRESS/BDHIS_MINSA</v>
      </c>
      <c r="I129" s="4" t="str">
        <f>IF(OR(E129="",F129=""),IF(C129="",IF(G129="","",(CONCATENATE("sqlcmd -E -S ",B129," -d ",D129," -i ",MENU!$E$6,A129,"\",G129,".sql -o ",MENU!$B$9,G129, ".txt &amp; ",H129))),IF(G129="","",(CONCATENATE("sqlcmd -E -S ",B129,"\",C129," -d ",D129," -i ",MENU!$E$6,A129,"\",G129,".sql -o ",MENU!$B$9,G129, ".txt &amp; ",H129)))),IF(C129="",IF(G129="","",(CONCATENATE("sqlcmd -S ",B129," -d ",D129," -U ",E129," -P ",F129," -i ",MENU!$E$6,A129,"\",G129,".sql -o ",MENU!$B$9,G129, ".txt &amp; ",H129))),IF(G129="","",(CONCATENATE("sqlcmd -S ",B129,"\",C129," -d ",D129," -U ",E129," -P ",F129," -i ",MENU!$E$6,A129,"\",G129,".sql -o ",MENU!$B$9,G129, ".txt &amp; ",H129)))))</f>
        <v>sqlcmd -E -S UEIHNE01\SQLEXPRESS -d BDHIS_MINSA -i C:\HISMINSA\Scripts\ESNI\dbo.TRAMA_BASE_ESNI_RPT_15_REPORTE_P_CONSOLIDADO.Table.sql -o C:\HISMINSA\Resultados\dbo.TRAMA_BASE_ESNI_RPT_15_REPORTE_P_CONSOLIDADO.Table.txt &amp; @echo Script  ejecutado en la Base de datos UEIHNE01/SQLEXPRESS/BDHIS_MINSA</v>
      </c>
    </row>
    <row r="130" spans="1:9" ht="43.5" customHeight="1" thickBot="1" x14ac:dyDescent="0.25">
      <c r="A130" s="4" t="s">
        <v>63</v>
      </c>
      <c r="B130" s="4" t="str">
        <f>IF(MENU!$B$6="","INGRESE SERVIDOR",MENU!$B$6)</f>
        <v>UEIHNE01</v>
      </c>
      <c r="C130" s="13" t="str">
        <f>IF(MENU!$D$6="","",MENU!$D$6)</f>
        <v>SQLEXPRESS</v>
      </c>
      <c r="D130" s="5" t="str">
        <f>IF(MENU!$C$6="","INGRESE BASE",MENU!$C$6)</f>
        <v>BDHIS_MINSA</v>
      </c>
      <c r="E130" s="13" t="str">
        <f>IF(MENU!$C$9="","",MENU!$C$9)</f>
        <v/>
      </c>
      <c r="F130" s="13" t="str">
        <f>IF(MENU!$D$9="","",MENU!$D$9)</f>
        <v/>
      </c>
      <c r="G130" s="16" t="s">
        <v>250</v>
      </c>
      <c r="H130" s="5" t="str">
        <f t="shared" si="2"/>
        <v>@echo Script  ejecutado en la Base de datos UEIHNE01/SQLEXPRESS/BDHIS_MINSA</v>
      </c>
      <c r="I130" s="4" t="str">
        <f>IF(OR(E130="",F130=""),IF(C130="",IF(G130="","",(CONCATENATE("sqlcmd -E -S ",B130," -d ",D130," -i ",MENU!$E$6,A130,"\",G130,".sql -o ",MENU!$B$9,G130, ".txt &amp; ",H130))),IF(G130="","",(CONCATENATE("sqlcmd -E -S ",B130,"\",C130," -d ",D130," -i ",MENU!$E$6,A130,"\",G130,".sql -o ",MENU!$B$9,G130, ".txt &amp; ",H130)))),IF(C130="",IF(G130="","",(CONCATENATE("sqlcmd -S ",B130," -d ",D130," -U ",E130," -P ",F130," -i ",MENU!$E$6,A130,"\",G130,".sql -o ",MENU!$B$9,G130, ".txt &amp; ",H130))),IF(G130="","",(CONCATENATE("sqlcmd -S ",B130,"\",C130," -d ",D130," -U ",E130," -P ",F130," -i ",MENU!$E$6,A130,"\",G130,".sql -o ",MENU!$B$9,G130, ".txt &amp; ",H130)))))</f>
        <v>sqlcmd -E -S UEIHNE01\SQLEXPRESS -d BDHIS_MINSA -i C:\HISMINSA\Scripts\ESNI\dbo.TRAMA_BASE_ESNI_RPT_15_REPORTE_P_NOMINAL.Table.sql -o C:\HISMINSA\Resultados\dbo.TRAMA_BASE_ESNI_RPT_15_REPORTE_P_NOMINAL.Table.txt &amp; @echo Script  ejecutado en la Base de datos UEIHNE01/SQLEXPRESS/BDHIS_MINSA</v>
      </c>
    </row>
    <row r="131" spans="1:9" ht="43.5" customHeight="1" thickBot="1" x14ac:dyDescent="0.25">
      <c r="A131" s="4" t="s">
        <v>63</v>
      </c>
      <c r="B131" s="4" t="str">
        <f>IF(MENU!$B$6="","INGRESE SERVIDOR",MENU!$B$6)</f>
        <v>UEIHNE01</v>
      </c>
      <c r="C131" s="13" t="str">
        <f>IF(MENU!$D$6="","",MENU!$D$6)</f>
        <v>SQLEXPRESS</v>
      </c>
      <c r="D131" s="5" t="str">
        <f>IF(MENU!$C$6="","INGRESE BASE",MENU!$C$6)</f>
        <v>BDHIS_MINSA</v>
      </c>
      <c r="E131" s="13" t="str">
        <f>IF(MENU!$C$9="","",MENU!$C$9)</f>
        <v/>
      </c>
      <c r="F131" s="13" t="str">
        <f>IF(MENU!$D$9="","",MENU!$D$9)</f>
        <v/>
      </c>
      <c r="G131" s="16" t="s">
        <v>251</v>
      </c>
      <c r="H131" s="5" t="str">
        <f t="shared" si="2"/>
        <v>@echo Script  ejecutado en la Base de datos UEIHNE01/SQLEXPRESS/BDHIS_MINSA</v>
      </c>
      <c r="I131" s="4" t="str">
        <f>IF(OR(E131="",F131=""),IF(C131="",IF(G131="","",(CONCATENATE("sqlcmd -E -S ",B131," -d ",D131," -i ",MENU!$E$6,A131,"\",G131,".sql -o ",MENU!$B$9,G131, ".txt &amp; ",H131))),IF(G131="","",(CONCATENATE("sqlcmd -E -S ",B131,"\",C131," -d ",D131," -i ",MENU!$E$6,A131,"\",G131,".sql -o ",MENU!$B$9,G131, ".txt &amp; ",H131)))),IF(C131="",IF(G131="","",(CONCATENATE("sqlcmd -S ",B131," -d ",D131," -U ",E131," -P ",F131," -i ",MENU!$E$6,A131,"\",G131,".sql -o ",MENU!$B$9,G131, ".txt &amp; ",H131))),IF(G131="","",(CONCATENATE("sqlcmd -S ",B131,"\",C131," -d ",D131," -U ",E131," -P ",F131," -i ",MENU!$E$6,A131,"\",G131,".sql -o ",MENU!$B$9,G131, ".txt &amp; ",H131)))))</f>
        <v>sqlcmd -E -S UEIHNE01\SQLEXPRESS -d BDHIS_MINSA -i C:\HISMINSA\Scripts\ESNI\dbo.TRAMA_BASE_ESNI_RPT_16_REPORTE_Q_CONSOLIDADO.Table.sql -o C:\HISMINSA\Resultados\dbo.TRAMA_BASE_ESNI_RPT_16_REPORTE_Q_CONSOLIDADO.Table.txt &amp; @echo Script  ejecutado en la Base de datos UEIHNE01/SQLEXPRESS/BDHIS_MINSA</v>
      </c>
    </row>
    <row r="132" spans="1:9" ht="43.5" customHeight="1" thickBot="1" x14ac:dyDescent="0.25">
      <c r="A132" s="4" t="s">
        <v>63</v>
      </c>
      <c r="B132" s="4" t="str">
        <f>IF(MENU!$B$6="","INGRESE SERVIDOR",MENU!$B$6)</f>
        <v>UEIHNE01</v>
      </c>
      <c r="C132" s="13" t="str">
        <f>IF(MENU!$D$6="","",MENU!$D$6)</f>
        <v>SQLEXPRESS</v>
      </c>
      <c r="D132" s="5" t="str">
        <f>IF(MENU!$C$6="","INGRESE BASE",MENU!$C$6)</f>
        <v>BDHIS_MINSA</v>
      </c>
      <c r="E132" s="13" t="str">
        <f>IF(MENU!$C$9="","",MENU!$C$9)</f>
        <v/>
      </c>
      <c r="F132" s="13" t="str">
        <f>IF(MENU!$D$9="","",MENU!$D$9)</f>
        <v/>
      </c>
      <c r="G132" s="16" t="s">
        <v>252</v>
      </c>
      <c r="H132" s="5" t="str">
        <f t="shared" si="2"/>
        <v>@echo Script  ejecutado en la Base de datos UEIHNE01/SQLEXPRESS/BDHIS_MINSA</v>
      </c>
      <c r="I132" s="4" t="str">
        <f>IF(OR(E132="",F132=""),IF(C132="",IF(G132="","",(CONCATENATE("sqlcmd -E -S ",B132," -d ",D132," -i ",MENU!$E$6,A132,"\",G132,".sql -o ",MENU!$B$9,G132, ".txt &amp; ",H132))),IF(G132="","",(CONCATENATE("sqlcmd -E -S ",B132,"\",C132," -d ",D132," -i ",MENU!$E$6,A132,"\",G132,".sql -o ",MENU!$B$9,G132, ".txt &amp; ",H132)))),IF(C132="",IF(G132="","",(CONCATENATE("sqlcmd -S ",B132," -d ",D132," -U ",E132," -P ",F132," -i ",MENU!$E$6,A132,"\",G132,".sql -o ",MENU!$B$9,G132, ".txt &amp; ",H132))),IF(G132="","",(CONCATENATE("sqlcmd -S ",B132,"\",C132," -d ",D132," -U ",E132," -P ",F132," -i ",MENU!$E$6,A132,"\",G132,".sql -o ",MENU!$B$9,G132, ".txt &amp; ",H132)))))</f>
        <v>sqlcmd -E -S UEIHNE01\SQLEXPRESS -d BDHIS_MINSA -i C:\HISMINSA\Scripts\ESNI\dbo.TRAMA_BASE_ESNI_RPT_16_REPORTE_Q_NOMINAL.Table.sql -o C:\HISMINSA\Resultados\dbo.TRAMA_BASE_ESNI_RPT_16_REPORTE_Q_NOMINAL.Table.txt &amp; @echo Script  ejecutado en la Base de datos UEIHNE01/SQLEXPRESS/BDHIS_MINSA</v>
      </c>
    </row>
    <row r="133" spans="1:9" ht="43.5" customHeight="1" thickBot="1" x14ac:dyDescent="0.25">
      <c r="A133" s="4" t="s">
        <v>63</v>
      </c>
      <c r="B133" s="4" t="str">
        <f>IF(MENU!$B$6="","INGRESE SERVIDOR",MENU!$B$6)</f>
        <v>UEIHNE01</v>
      </c>
      <c r="C133" s="13" t="str">
        <f>IF(MENU!$D$6="","",MENU!$D$6)</f>
        <v>SQLEXPRESS</v>
      </c>
      <c r="D133" s="5" t="str">
        <f>IF(MENU!$C$6="","INGRESE BASE",MENU!$C$6)</f>
        <v>BDHIS_MINSA</v>
      </c>
      <c r="E133" s="13" t="str">
        <f>IF(MENU!$C$9="","",MENU!$C$9)</f>
        <v/>
      </c>
      <c r="F133" s="13" t="str">
        <f>IF(MENU!$D$9="","",MENU!$D$9)</f>
        <v/>
      </c>
      <c r="G133" s="16" t="s">
        <v>40</v>
      </c>
      <c r="H133" s="5" t="str">
        <f t="shared" si="2"/>
        <v>@echo Script  ejecutado en la Base de datos UEIHNE01/SQLEXPRESS/BDHIS_MINSA</v>
      </c>
      <c r="I133" s="4" t="str">
        <f>IF(OR(E133="",F133=""),IF(C133="",IF(G133="","",(CONCATENATE("sqlcmd -E -S ",B133," -d ",D133," -i ",MENU!$E$6,A133,"\",G133,".sql -o ",MENU!$B$9,G133, ".txt &amp; ",H133))),IF(G133="","",(CONCATENATE("sqlcmd -E -S ",B133,"\",C133," -d ",D133," -i ",MENU!$E$6,A133,"\",G133,".sql -o ",MENU!$B$9,G133, ".txt &amp; ",H133)))),IF(C133="",IF(G133="","",(CONCATENATE("sqlcmd -S ",B133," -d ",D133," -U ",E133," -P ",F133," -i ",MENU!$E$6,A133,"\",G133,".sql -o ",MENU!$B$9,G133, ".txt &amp; ",H133))),IF(G133="","",(CONCATENATE("sqlcmd -S ",B133,"\",C133," -d ",D133," -U ",E133," -P ",F133," -i ",MENU!$E$6,A133,"\",G133,".sql -o ",MENU!$B$9,G133, ".txt &amp; ",H133)))))</f>
        <v>sqlcmd -E -S UEIHNE01\SQLEXPRESS -d BDHIS_MINSA -i C:\HISMINSA\Scripts\ESNI\dbo.DimESNIDosis2_2019.Table.sql -o C:\HISMINSA\Resultados\dbo.DimESNIDosis2_2019.Table.txt &amp; @echo Script  ejecutado en la Base de datos UEIHNE01/SQLEXPRESS/BDHIS_MINSA</v>
      </c>
    </row>
    <row r="134" spans="1:9" ht="43.5" customHeight="1" thickBot="1" x14ac:dyDescent="0.25">
      <c r="A134" s="4" t="s">
        <v>63</v>
      </c>
      <c r="B134" s="4" t="str">
        <f>IF(MENU!$B$6="","INGRESE SERVIDOR",MENU!$B$6)</f>
        <v>UEIHNE01</v>
      </c>
      <c r="C134" s="13" t="str">
        <f>IF(MENU!$D$6="","",MENU!$D$6)</f>
        <v>SQLEXPRESS</v>
      </c>
      <c r="D134" s="5" t="str">
        <f>IF(MENU!$C$6="","INGRESE BASE",MENU!$C$6)</f>
        <v>BDHIS_MINSA</v>
      </c>
      <c r="E134" s="13" t="str">
        <f>IF(MENU!$C$9="","",MENU!$C$9)</f>
        <v/>
      </c>
      <c r="F134" s="13" t="str">
        <f>IF(MENU!$D$9="","",MENU!$D$9)</f>
        <v/>
      </c>
      <c r="G134" s="16" t="s">
        <v>41</v>
      </c>
      <c r="H134" s="5" t="str">
        <f t="shared" si="2"/>
        <v>@echo Script  ejecutado en la Base de datos UEIHNE01/SQLEXPRESS/BDHIS_MINSA</v>
      </c>
      <c r="I134" s="4" t="str">
        <f>IF(OR(E134="",F134=""),IF(C134="",IF(G134="","",(CONCATENATE("sqlcmd -E -S ",B134," -d ",D134," -i ",MENU!$E$6,A134,"\",G134,".sql -o ",MENU!$B$9,G134, ".txt &amp; ",H134))),IF(G134="","",(CONCATENATE("sqlcmd -E -S ",B134,"\",C134," -d ",D134," -i ",MENU!$E$6,A134,"\",G134,".sql -o ",MENU!$B$9,G134, ".txt &amp; ",H134)))),IF(C134="",IF(G134="","",(CONCATENATE("sqlcmd -S ",B134," -d ",D134," -U ",E134," -P ",F134," -i ",MENU!$E$6,A134,"\",G134,".sql -o ",MENU!$B$9,G134, ".txt &amp; ",H134))),IF(G134="","",(CONCATENATE("sqlcmd -S ",B134,"\",C134," -d ",D134," -U ",E134," -P ",F134," -i ",MENU!$E$6,A134,"\",G134,".sql -o ",MENU!$B$9,G134, ".txt &amp; ",H134)))))</f>
        <v>sqlcmd -E -S UEIHNE01\SQLEXPRESS -d BDHIS_MINSA -i C:\HISMINSA\Scripts\ESNI\dbo.DimESNIDosis3_2019.Table.sql -o C:\HISMINSA\Resultados\dbo.DimESNIDosis3_2019.Table.txt &amp; @echo Script  ejecutado en la Base de datos UEIHNE01/SQLEXPRESS/BDHIS_MINSA</v>
      </c>
    </row>
    <row r="135" spans="1:9" ht="43.5" customHeight="1" thickBot="1" x14ac:dyDescent="0.25">
      <c r="A135" s="4" t="s">
        <v>63</v>
      </c>
      <c r="B135" s="4" t="str">
        <f>IF(MENU!$B$6="","INGRESE SERVIDOR",MENU!$B$6)</f>
        <v>UEIHNE01</v>
      </c>
      <c r="C135" s="13" t="str">
        <f>IF(MENU!$D$6="","",MENU!$D$6)</f>
        <v>SQLEXPRESS</v>
      </c>
      <c r="D135" s="5" t="str">
        <f>IF(MENU!$C$6="","INGRESE BASE",MENU!$C$6)</f>
        <v>BDHIS_MINSA</v>
      </c>
      <c r="E135" s="13" t="str">
        <f>IF(MENU!$C$9="","",MENU!$C$9)</f>
        <v/>
      </c>
      <c r="F135" s="13" t="str">
        <f>IF(MENU!$D$9="","",MENU!$D$9)</f>
        <v/>
      </c>
      <c r="G135" s="16" t="s">
        <v>42</v>
      </c>
      <c r="H135" s="5" t="str">
        <f t="shared" si="2"/>
        <v>@echo Script  ejecutado en la Base de datos UEIHNE01/SQLEXPRESS/BDHIS_MINSA</v>
      </c>
      <c r="I135" s="4" t="str">
        <f>IF(OR(E135="",F135=""),IF(C135="",IF(G135="","",(CONCATENATE("sqlcmd -E -S ",B135," -d ",D135," -i ",MENU!$E$6,A135,"\",G135,".sql -o ",MENU!$B$9,G135, ".txt &amp; ",H135))),IF(G135="","",(CONCATENATE("sqlcmd -E -S ",B135,"\",C135," -d ",D135," -i ",MENU!$E$6,A135,"\",G135,".sql -o ",MENU!$B$9,G135, ".txt &amp; ",H135)))),IF(C135="",IF(G135="","",(CONCATENATE("sqlcmd -S ",B135," -d ",D135," -U ",E135," -P ",F135," -i ",MENU!$E$6,A135,"\",G135,".sql -o ",MENU!$B$9,G135, ".txt &amp; ",H135))),IF(G135="","",(CONCATENATE("sqlcmd -S ",B135,"\",C135," -d ",D135," -U ",E135," -P ",F135," -i ",MENU!$E$6,A135,"\",G135,".sql -o ",MENU!$B$9,G135, ".txt &amp; ",H135)))))</f>
        <v>sqlcmd -E -S UEIHNE01\SQLEXPRESS -d BDHIS_MINSA -i C:\HISMINSA\Scripts\ESNI\dbo.DimESNIDosis4_2019.Table.sql -o C:\HISMINSA\Resultados\dbo.DimESNIDosis4_2019.Table.txt &amp; @echo Script  ejecutado en la Base de datos UEIHNE01/SQLEXPRESS/BDHIS_MINSA</v>
      </c>
    </row>
    <row r="136" spans="1:9" ht="43.5" customHeight="1" thickBot="1" x14ac:dyDescent="0.25">
      <c r="A136" s="4" t="s">
        <v>63</v>
      </c>
      <c r="B136" s="4" t="str">
        <f>IF(MENU!$B$6="","INGRESE SERVIDOR",MENU!$B$6)</f>
        <v>UEIHNE01</v>
      </c>
      <c r="C136" s="13" t="str">
        <f>IF(MENU!$D$6="","",MENU!$D$6)</f>
        <v>SQLEXPRESS</v>
      </c>
      <c r="D136" s="5" t="str">
        <f>IF(MENU!$C$6="","INGRESE BASE",MENU!$C$6)</f>
        <v>BDHIS_MINSA</v>
      </c>
      <c r="E136" s="13" t="str">
        <f>IF(MENU!$C$9="","",MENU!$C$9)</f>
        <v/>
      </c>
      <c r="F136" s="13" t="str">
        <f>IF(MENU!$D$9="","",MENU!$D$9)</f>
        <v/>
      </c>
      <c r="G136" s="16" t="s">
        <v>43</v>
      </c>
      <c r="H136" s="5" t="str">
        <f t="shared" si="2"/>
        <v>@echo Script  ejecutado en la Base de datos UEIHNE01/SQLEXPRESS/BDHIS_MINSA</v>
      </c>
      <c r="I136" s="4" t="str">
        <f>IF(OR(E136="",F136=""),IF(C136="",IF(G136="","",(CONCATENATE("sqlcmd -E -S ",B136," -d ",D136," -i ",MENU!$E$6,A136,"\",G136,".sql -o ",MENU!$B$9,G136, ".txt &amp; ",H136))),IF(G136="","",(CONCATENATE("sqlcmd -E -S ",B136,"\",C136," -d ",D136," -i ",MENU!$E$6,A136,"\",G136,".sql -o ",MENU!$B$9,G136, ".txt &amp; ",H136)))),IF(C136="",IF(G136="","",(CONCATENATE("sqlcmd -S ",B136," -d ",D136," -U ",E136," -P ",F136," -i ",MENU!$E$6,A136,"\",G136,".sql -o ",MENU!$B$9,G136, ".txt &amp; ",H136))),IF(G136="","",(CONCATENATE("sqlcmd -S ",B136,"\",C136," -d ",D136," -U ",E136," -P ",F136," -i ",MENU!$E$6,A136,"\",G136,".sql -o ",MENU!$B$9,G136, ".txt &amp; ",H136)))))</f>
        <v>sqlcmd -E -S UEIHNE01\SQLEXPRESS -d BDHIS_MINSA -i C:\HISMINSA\Scripts\ESNI\dbo.DimESNIDosis5_2019.Table.sql -o C:\HISMINSA\Resultados\dbo.DimESNIDosis5_2019.Table.txt &amp; @echo Script  ejecutado en la Base de datos UEIHNE01/SQLEXPRESS/BDHIS_MINSA</v>
      </c>
    </row>
    <row r="137" spans="1:9" ht="43.5" customHeight="1" thickBot="1" x14ac:dyDescent="0.25">
      <c r="A137" s="4" t="s">
        <v>63</v>
      </c>
      <c r="B137" s="4" t="str">
        <f>IF(MENU!$B$6="","INGRESE SERVIDOR",MENU!$B$6)</f>
        <v>UEIHNE01</v>
      </c>
      <c r="C137" s="13" t="str">
        <f>IF(MENU!$D$6="","",MENU!$D$6)</f>
        <v>SQLEXPRESS</v>
      </c>
      <c r="D137" s="5" t="str">
        <f>IF(MENU!$C$6="","INGRESE BASE",MENU!$C$6)</f>
        <v>BDHIS_MINSA</v>
      </c>
      <c r="E137" s="13" t="str">
        <f>IF(MENU!$C$9="","",MENU!$C$9)</f>
        <v/>
      </c>
      <c r="F137" s="13" t="str">
        <f>IF(MENU!$D$9="","",MENU!$D$9)</f>
        <v/>
      </c>
      <c r="G137" s="16" t="s">
        <v>44</v>
      </c>
      <c r="H137" s="5" t="str">
        <f t="shared" si="2"/>
        <v>@echo Script  ejecutado en la Base de datos UEIHNE01/SQLEXPRESS/BDHIS_MINSA</v>
      </c>
      <c r="I137" s="4" t="str">
        <f>IF(OR(E137="",F137=""),IF(C137="",IF(G137="","",(CONCATENATE("sqlcmd -E -S ",B137," -d ",D137," -i ",MENU!$E$6,A137,"\",G137,".sql -o ",MENU!$B$9,G137, ".txt &amp; ",H137))),IF(G137="","",(CONCATENATE("sqlcmd -E -S ",B137,"\",C137," -d ",D137," -i ",MENU!$E$6,A137,"\",G137,".sql -o ",MENU!$B$9,G137, ".txt &amp; ",H137)))),IF(C137="",IF(G137="","",(CONCATENATE("sqlcmd -S ",B137," -d ",D137," -U ",E137," -P ",F137," -i ",MENU!$E$6,A137,"\",G137,".sql -o ",MENU!$B$9,G137, ".txt &amp; ",H137))),IF(G137="","",(CONCATENATE("sqlcmd -S ",B137,"\",C137," -d ",D137," -U ",E137," -P ",F137," -i ",MENU!$E$6,A137,"\",G137,".sql -o ",MENU!$B$9,G137, ".txt &amp; ",H137)))))</f>
        <v>sqlcmd -E -S UEIHNE01\SQLEXPRESS -d BDHIS_MINSA -i C:\HISMINSA\Scripts\ESNI\dbo.DimESNIDosis6_2019.Table.sql -o C:\HISMINSA\Resultados\dbo.DimESNIDosis6_2019.Table.txt &amp; @echo Script  ejecutado en la Base de datos UEIHNE01/SQLEXPRESS/BDHIS_MINSA</v>
      </c>
    </row>
    <row r="138" spans="1:9" ht="43.5" customHeight="1" thickBot="1" x14ac:dyDescent="0.25">
      <c r="A138" s="4" t="s">
        <v>63</v>
      </c>
      <c r="B138" s="4" t="str">
        <f>IF(MENU!$B$6="","INGRESE SERVIDOR",MENU!$B$6)</f>
        <v>UEIHNE01</v>
      </c>
      <c r="C138" s="13" t="str">
        <f>IF(MENU!$D$6="","",MENU!$D$6)</f>
        <v>SQLEXPRESS</v>
      </c>
      <c r="D138" s="5" t="str">
        <f>IF(MENU!$C$6="","INGRESE BASE",MENU!$C$6)</f>
        <v>BDHIS_MINSA</v>
      </c>
      <c r="E138" s="13" t="str">
        <f>IF(MENU!$C$9="","",MENU!$C$9)</f>
        <v/>
      </c>
      <c r="F138" s="13" t="str">
        <f>IF(MENU!$D$9="","",MENU!$D$9)</f>
        <v/>
      </c>
      <c r="G138" s="16" t="s">
        <v>45</v>
      </c>
      <c r="H138" s="5" t="str">
        <f t="shared" si="2"/>
        <v>@echo Script  ejecutado en la Base de datos UEIHNE01/SQLEXPRESS/BDHIS_MINSA</v>
      </c>
      <c r="I138" s="4" t="str">
        <f>IF(OR(E138="",F138=""),IF(C138="",IF(G138="","",(CONCATENATE("sqlcmd -E -S ",B138," -d ",D138," -i ",MENU!$E$6,A138,"\",G138,".sql -o ",MENU!$B$9,G138, ".txt &amp; ",H138))),IF(G138="","",(CONCATENATE("sqlcmd -E -S ",B138,"\",C138," -d ",D138," -i ",MENU!$E$6,A138,"\",G138,".sql -o ",MENU!$B$9,G138, ".txt &amp; ",H138)))),IF(C138="",IF(G138="","",(CONCATENATE("sqlcmd -S ",B138," -d ",D138," -U ",E138," -P ",F138," -i ",MENU!$E$6,A138,"\",G138,".sql -o ",MENU!$B$9,G138, ".txt &amp; ",H138))),IF(G138="","",(CONCATENATE("sqlcmd -S ",B138,"\",C138," -d ",D138," -U ",E138," -P ",F138," -i ",MENU!$E$6,A138,"\",G138,".sql -o ",MENU!$B$9,G138, ".txt &amp; ",H138)))))</f>
        <v>sqlcmd -E -S UEIHNE01\SQLEXPRESS -d BDHIS_MINSA -i C:\HISMINSA\Scripts\ESNI\dbo.DimESNIDosis7_2019.Table.sql -o C:\HISMINSA\Resultados\dbo.DimESNIDosis7_2019.Table.txt &amp; @echo Script  ejecutado en la Base de datos UEIHNE01/SQLEXPRESS/BDHIS_MINSA</v>
      </c>
    </row>
    <row r="139" spans="1:9" ht="43.5" customHeight="1" thickBot="1" x14ac:dyDescent="0.25">
      <c r="A139" s="4" t="s">
        <v>63</v>
      </c>
      <c r="B139" s="4" t="str">
        <f>IF(MENU!$B$6="","INGRESE SERVIDOR",MENU!$B$6)</f>
        <v>UEIHNE01</v>
      </c>
      <c r="C139" s="13" t="str">
        <f>IF(MENU!$D$6="","",MENU!$D$6)</f>
        <v>SQLEXPRESS</v>
      </c>
      <c r="D139" s="5" t="str">
        <f>IF(MENU!$C$6="","INGRESE BASE",MENU!$C$6)</f>
        <v>BDHIS_MINSA</v>
      </c>
      <c r="E139" s="13" t="str">
        <f>IF(MENU!$C$9="","",MENU!$C$9)</f>
        <v/>
      </c>
      <c r="F139" s="13" t="str">
        <f>IF(MENU!$D$9="","",MENU!$D$9)</f>
        <v/>
      </c>
      <c r="G139" s="16" t="s">
        <v>46</v>
      </c>
      <c r="H139" s="5" t="str">
        <f t="shared" si="2"/>
        <v>@echo Script  ejecutado en la Base de datos UEIHNE01/SQLEXPRESS/BDHIS_MINSA</v>
      </c>
      <c r="I139" s="4" t="str">
        <f>IF(OR(E139="",F139=""),IF(C139="",IF(G139="","",(CONCATENATE("sqlcmd -E -S ",B139," -d ",D139," -i ",MENU!$E$6,A139,"\",G139,".sql -o ",MENU!$B$9,G139, ".txt &amp; ",H139))),IF(G139="","",(CONCATENATE("sqlcmd -E -S ",B139,"\",C139," -d ",D139," -i ",MENU!$E$6,A139,"\",G139,".sql -o ",MENU!$B$9,G139, ".txt &amp; ",H139)))),IF(C139="",IF(G139="","",(CONCATENATE("sqlcmd -S ",B139," -d ",D139," -U ",E139," -P ",F139," -i ",MENU!$E$6,A139,"\",G139,".sql -o ",MENU!$B$9,G139, ".txt &amp; ",H139))),IF(G139="","",(CONCATENATE("sqlcmd -S ",B139,"\",C139," -d ",D139," -U ",E139," -P ",F139," -i ",MENU!$E$6,A139,"\",G139,".sql -o ",MENU!$B$9,G139, ".txt &amp; ",H139)))))</f>
        <v>sqlcmd -E -S UEIHNE01\SQLEXPRESS -d BDHIS_MINSA -i C:\HISMINSA\Scripts\ESNI\dbo.DimESNIDosis_2019.Table.sql -o C:\HISMINSA\Resultados\dbo.DimESNIDosis_2019.Table.txt &amp; @echo Script  ejecutado en la Base de datos UEIHNE01/SQLEXPRESS/BDHIS_MINSA</v>
      </c>
    </row>
    <row r="140" spans="1:9" ht="43.5" customHeight="1" thickBot="1" x14ac:dyDescent="0.25">
      <c r="A140" s="4" t="s">
        <v>63</v>
      </c>
      <c r="B140" s="4" t="str">
        <f>IF(MENU!$B$6="","INGRESE SERVIDOR",MENU!$B$6)</f>
        <v>UEIHNE01</v>
      </c>
      <c r="C140" s="13" t="str">
        <f>IF(MENU!$D$6="","",MENU!$D$6)</f>
        <v>SQLEXPRESS</v>
      </c>
      <c r="D140" s="5" t="str">
        <f>IF(MENU!$C$6="","INGRESE BASE",MENU!$C$6)</f>
        <v>BDHIS_MINSA</v>
      </c>
      <c r="E140" s="13" t="str">
        <f>IF(MENU!$C$9="","",MENU!$C$9)</f>
        <v/>
      </c>
      <c r="F140" s="13" t="str">
        <f>IF(MENU!$D$9="","",MENU!$D$9)</f>
        <v/>
      </c>
      <c r="G140" s="16" t="s">
        <v>47</v>
      </c>
      <c r="H140" s="5" t="str">
        <f t="shared" si="2"/>
        <v>@echo Script  ejecutado en la Base de datos UEIHNE01/SQLEXPRESS/BDHIS_MINSA</v>
      </c>
      <c r="I140" s="4" t="str">
        <f>IF(OR(E140="",F140=""),IF(C140="",IF(G140="","",(CONCATENATE("sqlcmd -E -S ",B140," -d ",D140," -i ",MENU!$E$6,A140,"\",G140,".sql -o ",MENU!$B$9,G140, ".txt &amp; ",H140))),IF(G140="","",(CONCATENATE("sqlcmd -E -S ",B140,"\",C140," -d ",D140," -i ",MENU!$E$6,A140,"\",G140,".sql -o ",MENU!$B$9,G140, ".txt &amp; ",H140)))),IF(C140="",IF(G140="","",(CONCATENATE("sqlcmd -S ",B140," -d ",D140," -U ",E140," -P ",F140," -i ",MENU!$E$6,A140,"\",G140,".sql -o ",MENU!$B$9,G140, ".txt &amp; ",H140))),IF(G140="","",(CONCATENATE("sqlcmd -S ",B140,"\",C140," -d ",D140," -U ",E140," -P ",F140," -i ",MENU!$E$6,A140,"\",G140,".sql -o ",MENU!$B$9,G140, ".txt &amp; ",H140)))))</f>
        <v>sqlcmd -E -S UEIHNE01\SQLEXPRESS -d BDHIS_MINSA -i C:\HISMINSA\Scripts\ESNI\dbo.DimESNIEdad_2019.Table.sql -o C:\HISMINSA\Resultados\dbo.DimESNIEdad_2019.Table.txt &amp; @echo Script  ejecutado en la Base de datos UEIHNE01/SQLEXPRESS/BDHIS_MINSA</v>
      </c>
    </row>
    <row r="141" spans="1:9" ht="43.5" customHeight="1" thickBot="1" x14ac:dyDescent="0.25">
      <c r="A141" s="4" t="s">
        <v>63</v>
      </c>
      <c r="B141" s="4" t="str">
        <f>IF(MENU!$B$6="","INGRESE SERVIDOR",MENU!$B$6)</f>
        <v>UEIHNE01</v>
      </c>
      <c r="C141" s="13" t="str">
        <f>IF(MENU!$D$6="","",MENU!$D$6)</f>
        <v>SQLEXPRESS</v>
      </c>
      <c r="D141" s="5" t="str">
        <f>IF(MENU!$C$6="","INGRESE BASE",MENU!$C$6)</f>
        <v>BDHIS_MINSA</v>
      </c>
      <c r="E141" s="13" t="str">
        <f>IF(MENU!$C$9="","",MENU!$C$9)</f>
        <v/>
      </c>
      <c r="F141" s="13" t="str">
        <f>IF(MENU!$D$9="","",MENU!$D$9)</f>
        <v/>
      </c>
      <c r="G141" s="16" t="s">
        <v>48</v>
      </c>
      <c r="H141" s="5" t="str">
        <f t="shared" si="2"/>
        <v>@echo Script  ejecutado en la Base de datos UEIHNE01/SQLEXPRESS/BDHIS_MINSA</v>
      </c>
      <c r="I141" s="4" t="str">
        <f>IF(OR(E141="",F141=""),IF(C141="",IF(G141="","",(CONCATENATE("sqlcmd -E -S ",B141," -d ",D141," -i ",MENU!$E$6,A141,"\",G141,".sql -o ",MENU!$B$9,G141, ".txt &amp; ",H141))),IF(G141="","",(CONCATENATE("sqlcmd -E -S ",B141,"\",C141," -d ",D141," -i ",MENU!$E$6,A141,"\",G141,".sql -o ",MENU!$B$9,G141, ".txt &amp; ",H141)))),IF(C141="",IF(G141="","",(CONCATENATE("sqlcmd -S ",B141," -d ",D141," -U ",E141," -P ",F141," -i ",MENU!$E$6,A141,"\",G141,".sql -o ",MENU!$B$9,G141, ".txt &amp; ",H141))),IF(G141="","",(CONCATENATE("sqlcmd -S ",B141,"\",C141," -d ",D141," -U ",E141," -P ",F141," -i ",MENU!$E$6,A141,"\",G141,".sql -o ",MENU!$B$9,G141, ".txt &amp; ",H141)))))</f>
        <v>sqlcmd -E -S UEIHNE01\SQLEXPRESS -d BDHIS_MINSA -i C:\HISMINSA\Scripts\ESNI\dbo.DimESNIEsni2_2019.Table.sql -o C:\HISMINSA\Resultados\dbo.DimESNIEsni2_2019.Table.txt &amp; @echo Script  ejecutado en la Base de datos UEIHNE01/SQLEXPRESS/BDHIS_MINSA</v>
      </c>
    </row>
    <row r="142" spans="1:9" ht="43.5" customHeight="1" thickBot="1" x14ac:dyDescent="0.25">
      <c r="A142" s="4" t="s">
        <v>63</v>
      </c>
      <c r="B142" s="4" t="str">
        <f>IF(MENU!$B$6="","INGRESE SERVIDOR",MENU!$B$6)</f>
        <v>UEIHNE01</v>
      </c>
      <c r="C142" s="13" t="str">
        <f>IF(MENU!$D$6="","",MENU!$D$6)</f>
        <v>SQLEXPRESS</v>
      </c>
      <c r="D142" s="5" t="str">
        <f>IF(MENU!$C$6="","INGRESE BASE",MENU!$C$6)</f>
        <v>BDHIS_MINSA</v>
      </c>
      <c r="E142" s="13" t="str">
        <f>IF(MENU!$C$9="","",MENU!$C$9)</f>
        <v/>
      </c>
      <c r="F142" s="13" t="str">
        <f>IF(MENU!$D$9="","",MENU!$D$9)</f>
        <v/>
      </c>
      <c r="G142" s="16" t="s">
        <v>49</v>
      </c>
      <c r="H142" s="5" t="str">
        <f t="shared" si="2"/>
        <v>@echo Script  ejecutado en la Base de datos UEIHNE01/SQLEXPRESS/BDHIS_MINSA</v>
      </c>
      <c r="I142" s="4" t="str">
        <f>IF(OR(E142="",F142=""),IF(C142="",IF(G142="","",(CONCATENATE("sqlcmd -E -S ",B142," -d ",D142," -i ",MENU!$E$6,A142,"\",G142,".sql -o ",MENU!$B$9,G142, ".txt &amp; ",H142))),IF(G142="","",(CONCATENATE("sqlcmd -E -S ",B142,"\",C142," -d ",D142," -i ",MENU!$E$6,A142,"\",G142,".sql -o ",MENU!$B$9,G142, ".txt &amp; ",H142)))),IF(C142="",IF(G142="","",(CONCATENATE("sqlcmd -S ",B142," -d ",D142," -U ",E142," -P ",F142," -i ",MENU!$E$6,A142,"\",G142,".sql -o ",MENU!$B$9,G142, ".txt &amp; ",H142))),IF(G142="","",(CONCATENATE("sqlcmd -S ",B142,"\",C142," -d ",D142," -U ",E142," -P ",F142," -i ",MENU!$E$6,A142,"\",G142,".sql -o ",MENU!$B$9,G142, ".txt &amp; ",H142)))))</f>
        <v>sqlcmd -E -S UEIHNE01\SQLEXPRESS -d BDHIS_MINSA -i C:\HISMINSA\Scripts\ESNI\dbo.DimESNIEsni3_2019.Table.sql -o C:\HISMINSA\Resultados\dbo.DimESNIEsni3_2019.Table.txt &amp; @echo Script  ejecutado en la Base de datos UEIHNE01/SQLEXPRESS/BDHIS_MINSA</v>
      </c>
    </row>
    <row r="143" spans="1:9" ht="43.5" customHeight="1" thickBot="1" x14ac:dyDescent="0.25">
      <c r="A143" s="4" t="s">
        <v>63</v>
      </c>
      <c r="B143" s="4" t="str">
        <f>IF(MENU!$B$6="","INGRESE SERVIDOR",MENU!$B$6)</f>
        <v>UEIHNE01</v>
      </c>
      <c r="C143" s="13" t="str">
        <f>IF(MENU!$D$6="","",MENU!$D$6)</f>
        <v>SQLEXPRESS</v>
      </c>
      <c r="D143" s="5" t="str">
        <f>IF(MENU!$C$6="","INGRESE BASE",MENU!$C$6)</f>
        <v>BDHIS_MINSA</v>
      </c>
      <c r="E143" s="13" t="str">
        <f>IF(MENU!$C$9="","",MENU!$C$9)</f>
        <v/>
      </c>
      <c r="F143" s="13" t="str">
        <f>IF(MENU!$D$9="","",MENU!$D$9)</f>
        <v/>
      </c>
      <c r="G143" s="16" t="s">
        <v>50</v>
      </c>
      <c r="H143" s="5" t="str">
        <f t="shared" si="2"/>
        <v>@echo Script  ejecutado en la Base de datos UEIHNE01/SQLEXPRESS/BDHIS_MINSA</v>
      </c>
      <c r="I143" s="4" t="str">
        <f>IF(OR(E143="",F143=""),IF(C143="",IF(G143="","",(CONCATENATE("sqlcmd -E -S ",B143," -d ",D143," -i ",MENU!$E$6,A143,"\",G143,".sql -o ",MENU!$B$9,G143, ".txt &amp; ",H143))),IF(G143="","",(CONCATENATE("sqlcmd -E -S ",B143,"\",C143," -d ",D143," -i ",MENU!$E$6,A143,"\",G143,".sql -o ",MENU!$B$9,G143, ".txt &amp; ",H143)))),IF(C143="",IF(G143="","",(CONCATENATE("sqlcmd -S ",B143," -d ",D143," -U ",E143," -P ",F143," -i ",MENU!$E$6,A143,"\",G143,".sql -o ",MENU!$B$9,G143, ".txt &amp; ",H143))),IF(G143="","",(CONCATENATE("sqlcmd -S ",B143,"\",C143," -d ",D143," -U ",E143," -P ",F143," -i ",MENU!$E$6,A143,"\",G143,".sql -o ",MENU!$B$9,G143, ".txt &amp; ",H143)))))</f>
        <v>sqlcmd -E -S UEIHNE01\SQLEXPRESS -d BDHIS_MINSA -i C:\HISMINSA\Scripts\ESNI\dbo.DimESNIEsni_2019.Table.sql -o C:\HISMINSA\Resultados\dbo.DimESNIEsni_2019.Table.txt &amp; @echo Script  ejecutado en la Base de datos UEIHNE01/SQLEXPRESS/BDHIS_MINSA</v>
      </c>
    </row>
    <row r="144" spans="1:9" ht="43.5" customHeight="1" thickBot="1" x14ac:dyDescent="0.25">
      <c r="A144" s="4" t="s">
        <v>63</v>
      </c>
      <c r="B144" s="4" t="str">
        <f>IF(MENU!$B$6="","INGRESE SERVIDOR",MENU!$B$6)</f>
        <v>UEIHNE01</v>
      </c>
      <c r="C144" s="13" t="str">
        <f>IF(MENU!$D$6="","",MENU!$D$6)</f>
        <v>SQLEXPRESS</v>
      </c>
      <c r="D144" s="5" t="str">
        <f>IF(MENU!$C$6="","INGRESE BASE",MENU!$C$6)</f>
        <v>BDHIS_MINSA</v>
      </c>
      <c r="E144" s="13" t="str">
        <f>IF(MENU!$C$9="","",MENU!$C$9)</f>
        <v/>
      </c>
      <c r="F144" s="13" t="str">
        <f>IF(MENU!$D$9="","",MENU!$D$9)</f>
        <v/>
      </c>
      <c r="G144" s="16" t="s">
        <v>51</v>
      </c>
      <c r="H144" s="5" t="str">
        <f t="shared" si="2"/>
        <v>@echo Script  ejecutado en la Base de datos UEIHNE01/SQLEXPRESS/BDHIS_MINSA</v>
      </c>
      <c r="I144" s="4" t="str">
        <f>IF(OR(E144="",F144=""),IF(C144="",IF(G144="","",(CONCATENATE("sqlcmd -E -S ",B144," -d ",D144," -i ",MENU!$E$6,A144,"\",G144,".sql -o ",MENU!$B$9,G144, ".txt &amp; ",H144))),IF(G144="","",(CONCATENATE("sqlcmd -E -S ",B144,"\",C144," -d ",D144," -i ",MENU!$E$6,A144,"\",G144,".sql -o ",MENU!$B$9,G144, ".txt &amp; ",H144)))),IF(C144="",IF(G144="","",(CONCATENATE("sqlcmd -S ",B144," -d ",D144," -U ",E144," -P ",F144," -i ",MENU!$E$6,A144,"\",G144,".sql -o ",MENU!$B$9,G144, ".txt &amp; ",H144))),IF(G144="","",(CONCATENATE("sqlcmd -S ",B144,"\",C144," -d ",D144," -U ",E144," -P ",F144," -i ",MENU!$E$6,A144,"\",G144,".sql -o ",MENU!$B$9,G144, ".txt &amp; ",H144)))))</f>
        <v>sqlcmd -E -S UEIHNE01\SQLEXPRESS -d BDHIS_MINSA -i C:\HISMINSA\Scripts\ESNI\dbo.DimESNIEtapa2_2019.Table.sql -o C:\HISMINSA\Resultados\dbo.DimESNIEtapa2_2019.Table.txt &amp; @echo Script  ejecutado en la Base de datos UEIHNE01/SQLEXPRESS/BDHIS_MINSA</v>
      </c>
    </row>
    <row r="145" spans="1:9" ht="43.5" customHeight="1" thickBot="1" x14ac:dyDescent="0.25">
      <c r="A145" s="4" t="s">
        <v>63</v>
      </c>
      <c r="B145" s="4" t="str">
        <f>IF(MENU!$B$6="","INGRESE SERVIDOR",MENU!$B$6)</f>
        <v>UEIHNE01</v>
      </c>
      <c r="C145" s="13" t="str">
        <f>IF(MENU!$D$6="","",MENU!$D$6)</f>
        <v>SQLEXPRESS</v>
      </c>
      <c r="D145" s="5" t="str">
        <f>IF(MENU!$C$6="","INGRESE BASE",MENU!$C$6)</f>
        <v>BDHIS_MINSA</v>
      </c>
      <c r="E145" s="13" t="str">
        <f>IF(MENU!$C$9="","",MENU!$C$9)</f>
        <v/>
      </c>
      <c r="F145" s="13" t="str">
        <f>IF(MENU!$D$9="","",MENU!$D$9)</f>
        <v/>
      </c>
      <c r="G145" s="16" t="s">
        <v>52</v>
      </c>
      <c r="H145" s="5" t="str">
        <f t="shared" si="2"/>
        <v>@echo Script  ejecutado en la Base de datos UEIHNE01/SQLEXPRESS/BDHIS_MINSA</v>
      </c>
      <c r="I145" s="4" t="str">
        <f>IF(OR(E145="",F145=""),IF(C145="",IF(G145="","",(CONCATENATE("sqlcmd -E -S ",B145," -d ",D145," -i ",MENU!$E$6,A145,"\",G145,".sql -o ",MENU!$B$9,G145, ".txt &amp; ",H145))),IF(G145="","",(CONCATENATE("sqlcmd -E -S ",B145,"\",C145," -d ",D145," -i ",MENU!$E$6,A145,"\",G145,".sql -o ",MENU!$B$9,G145, ".txt &amp; ",H145)))),IF(C145="",IF(G145="","",(CONCATENATE("sqlcmd -S ",B145," -d ",D145," -U ",E145," -P ",F145," -i ",MENU!$E$6,A145,"\",G145,".sql -o ",MENU!$B$9,G145, ".txt &amp; ",H145))),IF(G145="","",(CONCATENATE("sqlcmd -S ",B145,"\",C145," -d ",D145," -U ",E145," -P ",F145," -i ",MENU!$E$6,A145,"\",G145,".sql -o ",MENU!$B$9,G145, ".txt &amp; ",H145)))))</f>
        <v>sqlcmd -E -S UEIHNE01\SQLEXPRESS -d BDHIS_MINSA -i C:\HISMINSA\Scripts\ESNI\dbo.DimESNIEtapa3_2019.Table.sql -o C:\HISMINSA\Resultados\dbo.DimESNIEtapa3_2019.Table.txt &amp; @echo Script  ejecutado en la Base de datos UEIHNE01/SQLEXPRESS/BDHIS_MINSA</v>
      </c>
    </row>
    <row r="146" spans="1:9" ht="43.5" customHeight="1" thickBot="1" x14ac:dyDescent="0.25">
      <c r="A146" s="4" t="s">
        <v>63</v>
      </c>
      <c r="B146" s="4" t="str">
        <f>IF(MENU!$B$6="","INGRESE SERVIDOR",MENU!$B$6)</f>
        <v>UEIHNE01</v>
      </c>
      <c r="C146" s="13" t="str">
        <f>IF(MENU!$D$6="","",MENU!$D$6)</f>
        <v>SQLEXPRESS</v>
      </c>
      <c r="D146" s="5" t="str">
        <f>IF(MENU!$C$6="","INGRESE BASE",MENU!$C$6)</f>
        <v>BDHIS_MINSA</v>
      </c>
      <c r="E146" s="13" t="str">
        <f>IF(MENU!$C$9="","",MENU!$C$9)</f>
        <v/>
      </c>
      <c r="F146" s="13" t="str">
        <f>IF(MENU!$D$9="","",MENU!$D$9)</f>
        <v/>
      </c>
      <c r="G146" s="16" t="s">
        <v>53</v>
      </c>
      <c r="H146" s="5" t="str">
        <f t="shared" si="2"/>
        <v>@echo Script  ejecutado en la Base de datos UEIHNE01/SQLEXPRESS/BDHIS_MINSA</v>
      </c>
      <c r="I146" s="4" t="str">
        <f>IF(OR(E146="",F146=""),IF(C146="",IF(G146="","",(CONCATENATE("sqlcmd -E -S ",B146," -d ",D146," -i ",MENU!$E$6,A146,"\",G146,".sql -o ",MENU!$B$9,G146, ".txt &amp; ",H146))),IF(G146="","",(CONCATENATE("sqlcmd -E -S ",B146,"\",C146," -d ",D146," -i ",MENU!$E$6,A146,"\",G146,".sql -o ",MENU!$B$9,G146, ".txt &amp; ",H146)))),IF(C146="",IF(G146="","",(CONCATENATE("sqlcmd -S ",B146," -d ",D146," -U ",E146," -P ",F146," -i ",MENU!$E$6,A146,"\",G146,".sql -o ",MENU!$B$9,G146, ".txt &amp; ",H146))),IF(G146="","",(CONCATENATE("sqlcmd -S ",B146,"\",C146," -d ",D146," -U ",E146," -P ",F146," -i ",MENU!$E$6,A146,"\",G146,".sql -o ",MENU!$B$9,G146, ".txt &amp; ",H146)))))</f>
        <v>sqlcmd -E -S UEIHNE01\SQLEXPRESS -d BDHIS_MINSA -i C:\HISMINSA\Scripts\ESNI\dbo.DimESNIEtapa4_2019.Table.sql -o C:\HISMINSA\Resultados\dbo.DimESNIEtapa4_2019.Table.txt &amp; @echo Script  ejecutado en la Base de datos UEIHNE01/SQLEXPRESS/BDHIS_MINSA</v>
      </c>
    </row>
    <row r="147" spans="1:9" ht="43.5" customHeight="1" thickBot="1" x14ac:dyDescent="0.25">
      <c r="A147" s="4" t="s">
        <v>63</v>
      </c>
      <c r="B147" s="4" t="str">
        <f>IF(MENU!$B$6="","INGRESE SERVIDOR",MENU!$B$6)</f>
        <v>UEIHNE01</v>
      </c>
      <c r="C147" s="13" t="str">
        <f>IF(MENU!$D$6="","",MENU!$D$6)</f>
        <v>SQLEXPRESS</v>
      </c>
      <c r="D147" s="5" t="str">
        <f>IF(MENU!$C$6="","INGRESE BASE",MENU!$C$6)</f>
        <v>BDHIS_MINSA</v>
      </c>
      <c r="E147" s="13" t="str">
        <f>IF(MENU!$C$9="","",MENU!$C$9)</f>
        <v/>
      </c>
      <c r="F147" s="13" t="str">
        <f>IF(MENU!$D$9="","",MENU!$D$9)</f>
        <v/>
      </c>
      <c r="G147" s="16" t="s">
        <v>54</v>
      </c>
      <c r="H147" s="5" t="str">
        <f t="shared" si="2"/>
        <v>@echo Script  ejecutado en la Base de datos UEIHNE01/SQLEXPRESS/BDHIS_MINSA</v>
      </c>
      <c r="I147" s="4" t="str">
        <f>IF(OR(E147="",F147=""),IF(C147="",IF(G147="","",(CONCATENATE("sqlcmd -E -S ",B147," -d ",D147," -i ",MENU!$E$6,A147,"\",G147,".sql -o ",MENU!$B$9,G147, ".txt &amp; ",H147))),IF(G147="","",(CONCATENATE("sqlcmd -E -S ",B147,"\",C147," -d ",D147," -i ",MENU!$E$6,A147,"\",G147,".sql -o ",MENU!$B$9,G147, ".txt &amp; ",H147)))),IF(C147="",IF(G147="","",(CONCATENATE("sqlcmd -S ",B147," -d ",D147," -U ",E147," -P ",F147," -i ",MENU!$E$6,A147,"\",G147,".sql -o ",MENU!$B$9,G147, ".txt &amp; ",H147))),IF(G147="","",(CONCATENATE("sqlcmd -S ",B147,"\",C147," -d ",D147," -U ",E147," -P ",F147," -i ",MENU!$E$6,A147,"\",G147,".sql -o ",MENU!$B$9,G147, ".txt &amp; ",H147)))))</f>
        <v>sqlcmd -E -S UEIHNE01\SQLEXPRESS -d BDHIS_MINSA -i C:\HISMINSA\Scripts\ESNI\dbo.DimESNIEtapa_2019.Table.sql -o C:\HISMINSA\Resultados\dbo.DimESNIEtapa_2019.Table.txt &amp; @echo Script  ejecutado en la Base de datos UEIHNE01/SQLEXPRESS/BDHIS_MINSA</v>
      </c>
    </row>
    <row r="148" spans="1:9" ht="43.5" customHeight="1" thickBot="1" x14ac:dyDescent="0.25">
      <c r="A148" s="4" t="s">
        <v>63</v>
      </c>
      <c r="B148" s="4" t="str">
        <f>IF(MENU!$B$6="","INGRESE SERVIDOR",MENU!$B$6)</f>
        <v>UEIHNE01</v>
      </c>
      <c r="C148" s="13" t="str">
        <f>IF(MENU!$D$6="","",MENU!$D$6)</f>
        <v>SQLEXPRESS</v>
      </c>
      <c r="D148" s="5" t="str">
        <f>IF(MENU!$C$6="","INGRESE BASE",MENU!$C$6)</f>
        <v>BDHIS_MINSA</v>
      </c>
      <c r="E148" s="13" t="str">
        <f>IF(MENU!$C$9="","",MENU!$C$9)</f>
        <v/>
      </c>
      <c r="F148" s="13" t="str">
        <f>IF(MENU!$D$9="","",MENU!$D$9)</f>
        <v/>
      </c>
      <c r="G148" s="16" t="s">
        <v>55</v>
      </c>
      <c r="H148" s="5" t="str">
        <f t="shared" si="2"/>
        <v>@echo Script  ejecutado en la Base de datos UEIHNE01/SQLEXPRESS/BDHIS_MINSA</v>
      </c>
      <c r="I148" s="4" t="str">
        <f>IF(OR(E148="",F148=""),IF(C148="",IF(G148="","",(CONCATENATE("sqlcmd -E -S ",B148," -d ",D148," -i ",MENU!$E$6,A148,"\",G148,".sql -o ",MENU!$B$9,G148, ".txt &amp; ",H148))),IF(G148="","",(CONCATENATE("sqlcmd -E -S ",B148,"\",C148," -d ",D148," -i ",MENU!$E$6,A148,"\",G148,".sql -o ",MENU!$B$9,G148, ".txt &amp; ",H148)))),IF(C148="",IF(G148="","",(CONCATENATE("sqlcmd -S ",B148," -d ",D148," -U ",E148," -P ",F148," -i ",MENU!$E$6,A148,"\",G148,".sql -o ",MENU!$B$9,G148, ".txt &amp; ",H148))),IF(G148="","",(CONCATENATE("sqlcmd -S ",B148,"\",C148," -d ",D148," -U ",E148," -P ",F148," -i ",MENU!$E$6,A148,"\",G148,".sql -o ",MENU!$B$9,G148, ".txt &amp; ",H148)))))</f>
        <v>sqlcmd -E -S UEIHNE01\SQLEXPRESS -d BDHIS_MINSA -i C:\HISMINSA\Scripts\ESNI\dbo.DimESNIGedad2_2019.Table.sql -o C:\HISMINSA\Resultados\dbo.DimESNIGedad2_2019.Table.txt &amp; @echo Script  ejecutado en la Base de datos UEIHNE01/SQLEXPRESS/BDHIS_MINSA</v>
      </c>
    </row>
    <row r="149" spans="1:9" ht="43.5" customHeight="1" thickBot="1" x14ac:dyDescent="0.25">
      <c r="A149" s="4" t="s">
        <v>63</v>
      </c>
      <c r="B149" s="4" t="str">
        <f>IF(MENU!$B$6="","INGRESE SERVIDOR",MENU!$B$6)</f>
        <v>UEIHNE01</v>
      </c>
      <c r="C149" s="13" t="str">
        <f>IF(MENU!$D$6="","",MENU!$D$6)</f>
        <v>SQLEXPRESS</v>
      </c>
      <c r="D149" s="5" t="str">
        <f>IF(MENU!$C$6="","INGRESE BASE",MENU!$C$6)</f>
        <v>BDHIS_MINSA</v>
      </c>
      <c r="E149" s="13" t="str">
        <f>IF(MENU!$C$9="","",MENU!$C$9)</f>
        <v/>
      </c>
      <c r="F149" s="13" t="str">
        <f>IF(MENU!$D$9="","",MENU!$D$9)</f>
        <v/>
      </c>
      <c r="G149" s="16" t="s">
        <v>56</v>
      </c>
      <c r="H149" s="5" t="str">
        <f t="shared" si="2"/>
        <v>@echo Script  ejecutado en la Base de datos UEIHNE01/SQLEXPRESS/BDHIS_MINSA</v>
      </c>
      <c r="I149" s="4" t="str">
        <f>IF(OR(E149="",F149=""),IF(C149="",IF(G149="","",(CONCATENATE("sqlcmd -E -S ",B149," -d ",D149," -i ",MENU!$E$6,A149,"\",G149,".sql -o ",MENU!$B$9,G149, ".txt &amp; ",H149))),IF(G149="","",(CONCATENATE("sqlcmd -E -S ",B149,"\",C149," -d ",D149," -i ",MENU!$E$6,A149,"\",G149,".sql -o ",MENU!$B$9,G149, ".txt &amp; ",H149)))),IF(C149="",IF(G149="","",(CONCATENATE("sqlcmd -S ",B149," -d ",D149," -U ",E149," -P ",F149," -i ",MENU!$E$6,A149,"\",G149,".sql -o ",MENU!$B$9,G149, ".txt &amp; ",H149))),IF(G149="","",(CONCATENATE("sqlcmd -S ",B149,"\",C149," -d ",D149," -U ",E149," -P ",F149," -i ",MENU!$E$6,A149,"\",G149,".sql -o ",MENU!$B$9,G149, ".txt &amp; ",H149)))))</f>
        <v>sqlcmd -E -S UEIHNE01\SQLEXPRESS -d BDHIS_MINSA -i C:\HISMINSA\Scripts\ESNI\dbo.DimESNIGedad3_2019.Table.sql -o C:\HISMINSA\Resultados\dbo.DimESNIGedad3_2019.Table.txt &amp; @echo Script  ejecutado en la Base de datos UEIHNE01/SQLEXPRESS/BDHIS_MINSA</v>
      </c>
    </row>
    <row r="150" spans="1:9" ht="43.5" customHeight="1" thickBot="1" x14ac:dyDescent="0.25">
      <c r="A150" s="4" t="s">
        <v>63</v>
      </c>
      <c r="B150" s="4" t="str">
        <f>IF(MENU!$B$6="","INGRESE SERVIDOR",MENU!$B$6)</f>
        <v>UEIHNE01</v>
      </c>
      <c r="C150" s="13" t="str">
        <f>IF(MENU!$D$6="","",MENU!$D$6)</f>
        <v>SQLEXPRESS</v>
      </c>
      <c r="D150" s="5" t="str">
        <f>IF(MENU!$C$6="","INGRESE BASE",MENU!$C$6)</f>
        <v>BDHIS_MINSA</v>
      </c>
      <c r="E150" s="13" t="str">
        <f>IF(MENU!$C$9="","",MENU!$C$9)</f>
        <v/>
      </c>
      <c r="F150" s="13" t="str">
        <f>IF(MENU!$D$9="","",MENU!$D$9)</f>
        <v/>
      </c>
      <c r="G150" s="16" t="s">
        <v>57</v>
      </c>
      <c r="H150" s="5" t="str">
        <f t="shared" si="2"/>
        <v>@echo Script  ejecutado en la Base de datos UEIHNE01/SQLEXPRESS/BDHIS_MINSA</v>
      </c>
      <c r="I150" s="4" t="str">
        <f>IF(OR(E150="",F150=""),IF(C150="",IF(G150="","",(CONCATENATE("sqlcmd -E -S ",B150," -d ",D150," -i ",MENU!$E$6,A150,"\",G150,".sql -o ",MENU!$B$9,G150, ".txt &amp; ",H150))),IF(G150="","",(CONCATENATE("sqlcmd -E -S ",B150,"\",C150," -d ",D150," -i ",MENU!$E$6,A150,"\",G150,".sql -o ",MENU!$B$9,G150, ".txt &amp; ",H150)))),IF(C150="",IF(G150="","",(CONCATENATE("sqlcmd -S ",B150," -d ",D150," -U ",E150," -P ",F150," -i ",MENU!$E$6,A150,"\",G150,".sql -o ",MENU!$B$9,G150, ".txt &amp; ",H150))),IF(G150="","",(CONCATENATE("sqlcmd -S ",B150,"\",C150," -d ",D150," -U ",E150," -P ",F150," -i ",MENU!$E$6,A150,"\",G150,".sql -o ",MENU!$B$9,G150, ".txt &amp; ",H150)))))</f>
        <v>sqlcmd -E -S UEIHNE01\SQLEXPRESS -d BDHIS_MINSA -i C:\HISMINSA\Scripts\ESNI\dbo.DimESNIGedad_2019.Table.sql -o C:\HISMINSA\Resultados\dbo.DimESNIGedad_2019.Table.txt &amp; @echo Script  ejecutado en la Base de datos UEIHNE01/SQLEXPRESS/BDHIS_MINSA</v>
      </c>
    </row>
    <row r="151" spans="1:9" ht="43.5" customHeight="1" thickBot="1" x14ac:dyDescent="0.25">
      <c r="A151" s="4" t="s">
        <v>63</v>
      </c>
      <c r="B151" s="4" t="str">
        <f>IF(MENU!$B$6="","INGRESE SERVIDOR",MENU!$B$6)</f>
        <v>UEIHNE01</v>
      </c>
      <c r="C151" s="13" t="str">
        <f>IF(MENU!$D$6="","",MENU!$D$6)</f>
        <v>SQLEXPRESS</v>
      </c>
      <c r="D151" s="5" t="str">
        <f>IF(MENU!$C$6="","INGRESE BASE",MENU!$C$6)</f>
        <v>BDHIS_MINSA</v>
      </c>
      <c r="E151" s="13" t="str">
        <f>IF(MENU!$C$9="","",MENU!$C$9)</f>
        <v/>
      </c>
      <c r="F151" s="13" t="str">
        <f>IF(MENU!$D$9="","",MENU!$D$9)</f>
        <v/>
      </c>
      <c r="G151" s="16" t="s">
        <v>58</v>
      </c>
      <c r="H151" s="5" t="str">
        <f t="shared" si="2"/>
        <v>@echo Script  ejecutado en la Base de datos UEIHNE01/SQLEXPRESS/BDHIS_MINSA</v>
      </c>
      <c r="I151" s="4" t="str">
        <f>IF(OR(E151="",F151=""),IF(C151="",IF(G151="","",(CONCATENATE("sqlcmd -E -S ",B151," -d ",D151," -i ",MENU!$E$6,A151,"\",G151,".sql -o ",MENU!$B$9,G151, ".txt &amp; ",H151))),IF(G151="","",(CONCATENATE("sqlcmd -E -S ",B151,"\",C151," -d ",D151," -i ",MENU!$E$6,A151,"\",G151,".sql -o ",MENU!$B$9,G151, ".txt &amp; ",H151)))),IF(C151="",IF(G151="","",(CONCATENATE("sqlcmd -S ",B151," -d ",D151," -U ",E151," -P ",F151," -i ",MENU!$E$6,A151,"\",G151,".sql -o ",MENU!$B$9,G151, ".txt &amp; ",H151))),IF(G151="","",(CONCATENATE("sqlcmd -S ",B151,"\",C151," -d ",D151," -U ",E151," -P ",F151," -i ",MENU!$E$6,A151,"\",G151,".sql -o ",MENU!$B$9,G151, ".txt &amp; ",H151)))))</f>
        <v>sqlcmd -E -S UEIHNE01\SQLEXPRESS -d BDHIS_MINSA -i C:\HISMINSA\Scripts\ESNI\dbo.DimESNIGrupo2_2019.Table.sql -o C:\HISMINSA\Resultados\dbo.DimESNIGrupo2_2019.Table.txt &amp; @echo Script  ejecutado en la Base de datos UEIHNE01/SQLEXPRESS/BDHIS_MINSA</v>
      </c>
    </row>
    <row r="152" spans="1:9" ht="43.5" customHeight="1" thickBot="1" x14ac:dyDescent="0.25">
      <c r="A152" s="4" t="s">
        <v>63</v>
      </c>
      <c r="B152" s="4" t="str">
        <f>IF(MENU!$B$6="","INGRESE SERVIDOR",MENU!$B$6)</f>
        <v>UEIHNE01</v>
      </c>
      <c r="C152" s="13" t="str">
        <f>IF(MENU!$D$6="","",MENU!$D$6)</f>
        <v>SQLEXPRESS</v>
      </c>
      <c r="D152" s="5" t="str">
        <f>IF(MENU!$C$6="","INGRESE BASE",MENU!$C$6)</f>
        <v>BDHIS_MINSA</v>
      </c>
      <c r="E152" s="13" t="str">
        <f>IF(MENU!$C$9="","",MENU!$C$9)</f>
        <v/>
      </c>
      <c r="F152" s="13" t="str">
        <f>IF(MENU!$D$9="","",MENU!$D$9)</f>
        <v/>
      </c>
      <c r="G152" s="16" t="s">
        <v>59</v>
      </c>
      <c r="H152" s="5" t="str">
        <f t="shared" si="2"/>
        <v>@echo Script  ejecutado en la Base de datos UEIHNE01/SQLEXPRESS/BDHIS_MINSA</v>
      </c>
      <c r="I152" s="4" t="str">
        <f>IF(OR(E152="",F152=""),IF(C152="",IF(G152="","",(CONCATENATE("sqlcmd -E -S ",B152," -d ",D152," -i ",MENU!$E$6,A152,"\",G152,".sql -o ",MENU!$B$9,G152, ".txt &amp; ",H152))),IF(G152="","",(CONCATENATE("sqlcmd -E -S ",B152,"\",C152," -d ",D152," -i ",MENU!$E$6,A152,"\",G152,".sql -o ",MENU!$B$9,G152, ".txt &amp; ",H152)))),IF(C152="",IF(G152="","",(CONCATENATE("sqlcmd -S ",B152," -d ",D152," -U ",E152," -P ",F152," -i ",MENU!$E$6,A152,"\",G152,".sql -o ",MENU!$B$9,G152, ".txt &amp; ",H152))),IF(G152="","",(CONCATENATE("sqlcmd -S ",B152,"\",C152," -d ",D152," -U ",E152," -P ",F152," -i ",MENU!$E$6,A152,"\",G152,".sql -o ",MENU!$B$9,G152, ".txt &amp; ",H152)))))</f>
        <v>sqlcmd -E -S UEIHNE01\SQLEXPRESS -d BDHIS_MINSA -i C:\HISMINSA\Scripts\ESNI\dbo.DimESNIGrupo3_2019.Table.sql -o C:\HISMINSA\Resultados\dbo.DimESNIGrupo3_2019.Table.txt &amp; @echo Script  ejecutado en la Base de datos UEIHNE01/SQLEXPRESS/BDHIS_MINSA</v>
      </c>
    </row>
    <row r="153" spans="1:9" ht="43.5" customHeight="1" thickBot="1" x14ac:dyDescent="0.25">
      <c r="A153" s="4" t="s">
        <v>63</v>
      </c>
      <c r="B153" s="4" t="str">
        <f>IF(MENU!$B$6="","INGRESE SERVIDOR",MENU!$B$6)</f>
        <v>UEIHNE01</v>
      </c>
      <c r="C153" s="13" t="str">
        <f>IF(MENU!$D$6="","",MENU!$D$6)</f>
        <v>SQLEXPRESS</v>
      </c>
      <c r="D153" s="5" t="str">
        <f>IF(MENU!$C$6="","INGRESE BASE",MENU!$C$6)</f>
        <v>BDHIS_MINSA</v>
      </c>
      <c r="E153" s="13" t="str">
        <f>IF(MENU!$C$9="","",MENU!$C$9)</f>
        <v/>
      </c>
      <c r="F153" s="13" t="str">
        <f>IF(MENU!$D$9="","",MENU!$D$9)</f>
        <v/>
      </c>
      <c r="G153" s="16" t="s">
        <v>60</v>
      </c>
      <c r="H153" s="5" t="str">
        <f t="shared" si="2"/>
        <v>@echo Script  ejecutado en la Base de datos UEIHNE01/SQLEXPRESS/BDHIS_MINSA</v>
      </c>
      <c r="I153" s="4" t="str">
        <f>IF(OR(E153="",F153=""),IF(C153="",IF(G153="","",(CONCATENATE("sqlcmd -E -S ",B153," -d ",D153," -i ",MENU!$E$6,A153,"\",G153,".sql -o ",MENU!$B$9,G153, ".txt &amp; ",H153))),IF(G153="","",(CONCATENATE("sqlcmd -E -S ",B153,"\",C153," -d ",D153," -i ",MENU!$E$6,A153,"\",G153,".sql -o ",MENU!$B$9,G153, ".txt &amp; ",H153)))),IF(C153="",IF(G153="","",(CONCATENATE("sqlcmd -S ",B153," -d ",D153," -U ",E153," -P ",F153," -i ",MENU!$E$6,A153,"\",G153,".sql -o ",MENU!$B$9,G153, ".txt &amp; ",H153))),IF(G153="","",(CONCATENATE("sqlcmd -S ",B153,"\",C153," -d ",D153," -U ",E153," -P ",F153," -i ",MENU!$E$6,A153,"\",G153,".sql -o ",MENU!$B$9,G153, ".txt &amp; ",H153)))))</f>
        <v>sqlcmd -E -S UEIHNE01\SQLEXPRESS -d BDHIS_MINSA -i C:\HISMINSA\Scripts\ESNI\dbo.DimESNIGrupo4_2019.Table.sql -o C:\HISMINSA\Resultados\dbo.DimESNIGrupo4_2019.Table.txt &amp; @echo Script  ejecutado en la Base de datos UEIHNE01/SQLEXPRESS/BDHIS_MINSA</v>
      </c>
    </row>
    <row r="154" spans="1:9" ht="43.5" customHeight="1" thickBot="1" x14ac:dyDescent="0.25">
      <c r="A154" s="4" t="s">
        <v>63</v>
      </c>
      <c r="B154" s="4" t="str">
        <f>IF(MENU!$B$6="","INGRESE SERVIDOR",MENU!$B$6)</f>
        <v>UEIHNE01</v>
      </c>
      <c r="C154" s="13" t="str">
        <f>IF(MENU!$D$6="","",MENU!$D$6)</f>
        <v>SQLEXPRESS</v>
      </c>
      <c r="D154" s="5" t="str">
        <f>IF(MENU!$C$6="","INGRESE BASE",MENU!$C$6)</f>
        <v>BDHIS_MINSA</v>
      </c>
      <c r="E154" s="13" t="str">
        <f>IF(MENU!$C$9="","",MENU!$C$9)</f>
        <v/>
      </c>
      <c r="F154" s="13" t="str">
        <f>IF(MENU!$D$9="","",MENU!$D$9)</f>
        <v/>
      </c>
      <c r="G154" s="16" t="s">
        <v>61</v>
      </c>
      <c r="H154" s="5" t="str">
        <f t="shared" si="2"/>
        <v>@echo Script  ejecutado en la Base de datos UEIHNE01/SQLEXPRESS/BDHIS_MINSA</v>
      </c>
      <c r="I154" s="4" t="str">
        <f>IF(OR(E154="",F154=""),IF(C154="",IF(G154="","",(CONCATENATE("sqlcmd -E -S ",B154," -d ",D154," -i ",MENU!$E$6,A154,"\",G154,".sql -o ",MENU!$B$9,G154, ".txt &amp; ",H154))),IF(G154="","",(CONCATENATE("sqlcmd -E -S ",B154,"\",C154," -d ",D154," -i ",MENU!$E$6,A154,"\",G154,".sql -o ",MENU!$B$9,G154, ".txt &amp; ",H154)))),IF(C154="",IF(G154="","",(CONCATENATE("sqlcmd -S ",B154," -d ",D154," -U ",E154," -P ",F154," -i ",MENU!$E$6,A154,"\",G154,".sql -o ",MENU!$B$9,G154, ".txt &amp; ",H154))),IF(G154="","",(CONCATENATE("sqlcmd -S ",B154,"\",C154," -d ",D154," -U ",E154," -P ",F154," -i ",MENU!$E$6,A154,"\",G154,".sql -o ",MENU!$B$9,G154, ".txt &amp; ",H154)))))</f>
        <v>sqlcmd -E -S UEIHNE01\SQLEXPRESS -d BDHIS_MINSA -i C:\HISMINSA\Scripts\ESNI\dbo.DimESNIGrupo5_2019.Table.sql -o C:\HISMINSA\Resultados\dbo.DimESNIGrupo5_2019.Table.txt &amp; @echo Script  ejecutado en la Base de datos UEIHNE01/SQLEXPRESS/BDHIS_MINSA</v>
      </c>
    </row>
    <row r="155" spans="1:9" ht="43.5" customHeight="1" thickBot="1" x14ac:dyDescent="0.25">
      <c r="A155" s="4" t="s">
        <v>63</v>
      </c>
      <c r="B155" s="4" t="str">
        <f>IF(MENU!$B$6="","INGRESE SERVIDOR",MENU!$B$6)</f>
        <v>UEIHNE01</v>
      </c>
      <c r="C155" s="13" t="str">
        <f>IF(MENU!$D$6="","",MENU!$D$6)</f>
        <v>SQLEXPRESS</v>
      </c>
      <c r="D155" s="5" t="str">
        <f>IF(MENU!$C$6="","INGRESE BASE",MENU!$C$6)</f>
        <v>BDHIS_MINSA</v>
      </c>
      <c r="E155" s="13" t="str">
        <f>IF(MENU!$C$9="","",MENU!$C$9)</f>
        <v/>
      </c>
      <c r="F155" s="13" t="str">
        <f>IF(MENU!$D$9="","",MENU!$D$9)</f>
        <v/>
      </c>
      <c r="G155" s="16" t="s">
        <v>62</v>
      </c>
      <c r="H155" s="5" t="str">
        <f t="shared" si="2"/>
        <v>@echo Script  ejecutado en la Base de datos UEIHNE01/SQLEXPRESS/BDHIS_MINSA</v>
      </c>
      <c r="I155" s="4" t="str">
        <f>IF(OR(E155="",F155=""),IF(C155="",IF(G155="","",(CONCATENATE("sqlcmd -E -S ",B155," -d ",D155," -i ",MENU!$E$6,A155,"\",G155,".sql -o ",MENU!$B$9,G155, ".txt &amp; ",H155))),IF(G155="","",(CONCATENATE("sqlcmd -E -S ",B155,"\",C155," -d ",D155," -i ",MENU!$E$6,A155,"\",G155,".sql -o ",MENU!$B$9,G155, ".txt &amp; ",H155)))),IF(C155="",IF(G155="","",(CONCATENATE("sqlcmd -S ",B155," -d ",D155," -U ",E155," -P ",F155," -i ",MENU!$E$6,A155,"\",G155,".sql -o ",MENU!$B$9,G155, ".txt &amp; ",H155))),IF(G155="","",(CONCATENATE("sqlcmd -S ",B155,"\",C155," -d ",D155," -U ",E155," -P ",F155," -i ",MENU!$E$6,A155,"\",G155,".sql -o ",MENU!$B$9,G155, ".txt &amp; ",H155)))))</f>
        <v>sqlcmd -E -S UEIHNE01\SQLEXPRESS -d BDHIS_MINSA -i C:\HISMINSA\Scripts\ESNI\dbo.DimESNIGrupo_2019.Table.sql -o C:\HISMINSA\Resultados\dbo.DimESNIGrupo_2019.Table.txt &amp; @echo Script  ejecutado en la Base de datos UEIHNE01/SQLEXPRESS/BDHIS_MINSA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I21"/>
  <sheetViews>
    <sheetView workbookViewId="0">
      <selection activeCell="I2" sqref="I2"/>
    </sheetView>
  </sheetViews>
  <sheetFormatPr baseColWidth="10" defaultColWidth="9.140625" defaultRowHeight="12" x14ac:dyDescent="0.2"/>
  <cols>
    <col min="1" max="2" width="14.7109375" style="6" bestFit="1" customWidth="1"/>
    <col min="3" max="3" width="13.140625" style="3" customWidth="1"/>
    <col min="4" max="4" width="11.5703125" style="6" bestFit="1" customWidth="1"/>
    <col min="5" max="6" width="11.5703125" style="3" customWidth="1"/>
    <col min="7" max="7" width="50.7109375" style="6" customWidth="1"/>
    <col min="8" max="8" width="62.5703125" style="6" bestFit="1" customWidth="1"/>
    <col min="9" max="9" width="101" style="6" customWidth="1"/>
    <col min="10" max="16384" width="9.140625" style="6"/>
  </cols>
  <sheetData>
    <row r="1" spans="1:9" s="3" customFormat="1" ht="12.75" thickBot="1" x14ac:dyDescent="0.25">
      <c r="A1" s="1" t="s">
        <v>65</v>
      </c>
      <c r="B1" s="1" t="s">
        <v>0</v>
      </c>
      <c r="C1" s="2" t="s">
        <v>1</v>
      </c>
      <c r="D1" s="2" t="s">
        <v>2</v>
      </c>
      <c r="E1" s="2" t="s">
        <v>11</v>
      </c>
      <c r="F1" s="2" t="s">
        <v>12</v>
      </c>
      <c r="G1" s="2" t="s">
        <v>4</v>
      </c>
      <c r="H1" s="2"/>
      <c r="I1" s="1" t="s">
        <v>5</v>
      </c>
    </row>
    <row r="2" spans="1:9" ht="43.5" customHeight="1" thickBot="1" x14ac:dyDescent="0.25">
      <c r="A2" s="4" t="s">
        <v>78</v>
      </c>
      <c r="B2" s="4" t="str">
        <f>IF(MENU!$B$6="","INGRESE SERVIDOR",MENU!$B$6)</f>
        <v>UEIHNE01</v>
      </c>
      <c r="C2" s="13" t="str">
        <f>IF(MENU!$D$6="","",MENU!$D$6)</f>
        <v>SQLEXPRESS</v>
      </c>
      <c r="D2" s="5" t="str">
        <f>IF(MENU!$C$6="","INGRESE BASE",MENU!$C$6)</f>
        <v>BDHIS_MINSA</v>
      </c>
      <c r="E2" s="13" t="str">
        <f>IF(MENU!$C$9="","",MENU!$C$9)</f>
        <v/>
      </c>
      <c r="F2" s="13" t="str">
        <f>IF(MENU!$D$9="","",MENU!$D$9)</f>
        <v/>
      </c>
      <c r="G2" s="8" t="s">
        <v>79</v>
      </c>
      <c r="H2" s="5" t="str">
        <f t="shared" ref="H2:H3" si="0">IF(C2="",CONCATENATE("@echo Script ",G2, ".sql ejecutado en la Base de datos ", B2,"/",D2),CONCATENATE("@echo Script ",E2, " ejecutado en la Base de datos ", B2,"/",C2,"/",D2))</f>
        <v>@echo Script  ejecutado en la Base de datos UEIHNE01/SQLEXPRESS/BDHIS_MINSA</v>
      </c>
      <c r="I2" s="4" t="str">
        <f>IF(OR(E2="",F2=""),IF(C2="",IF(G2="","",(CONCATENATE("sqlcmd -E -S ",B2," -d ",D2," -i ",MENU!$E$6,A2,"\",G2,".sql -o ",MENU!$B$9,G2, ".txt &amp; ",H2))),IF(G2="","",(CONCATENATE("sqlcmd -E -S ",B2,"\",C2," -d ",D2," -i ",MENU!$E$6,A2,"\",G2,".sql -o ",MENU!$B$9,G2, ".txt &amp; ",H2)))),IF(C2="",IF(G2="","",(CONCATENATE("sqlcmd -S ",B2," -d ",D2," -U ",E2," -P ",F2," -i ",MENU!$E$6,A2,"\",G2,".sql -o ",MENU!$B$9,G2, ".txt &amp; ",H2))),IF(G2="","",(CONCATENATE("sqlcmd -S ",B2,"\",C2," -d ",D2," -U ",E2," -P ",F2," -i ",MENU!$E$6,A2,"\",G2,".sql -o ",MENU!$B$9,G2, ".txt &amp; ",H2)))))</f>
        <v>sqlcmd -E -S UEIHNE01\SQLEXPRESS -d BDHIS_MINSA -i C:\HISMINSA\Scripts\ITSVIH\USP_TRAMA_BASE_ITSVIH_RPT.sql -o C:\HISMINSA\Resultados\USP_TRAMA_BASE_ITSVIH_RPT.txt &amp; @echo Script  ejecutado en la Base de datos UEIHNE01/SQLEXPRESS/BDHIS_MINSA</v>
      </c>
    </row>
    <row r="3" spans="1:9" ht="43.5" customHeight="1" thickBot="1" x14ac:dyDescent="0.25">
      <c r="A3" s="4" t="s">
        <v>63</v>
      </c>
      <c r="B3" s="4" t="str">
        <f>IF(MENU!$B$6="","INGRESE SERVIDOR",MENU!$B$6)</f>
        <v>UEIHNE01</v>
      </c>
      <c r="C3" s="13" t="str">
        <f>IF(MENU!$D$6="","",MENU!$D$6)</f>
        <v>SQLEXPRESS</v>
      </c>
      <c r="D3" s="5" t="str">
        <f>IF(MENU!$C$6="","INGRESE BASE",MENU!$C$6)</f>
        <v>BDHIS_MINSA</v>
      </c>
      <c r="E3" s="13" t="str">
        <f>IF(MENU!$C$9="","",MENU!$C$9)</f>
        <v/>
      </c>
      <c r="F3" s="13" t="str">
        <f>IF(MENU!$D$9="","",MENU!$D$9)</f>
        <v/>
      </c>
      <c r="G3" s="16" t="s">
        <v>39</v>
      </c>
      <c r="H3" s="5" t="str">
        <f t="shared" si="0"/>
        <v>@echo Script  ejecutado en la Base de datos UEIHNE01/SQLEXPRESS/BDHIS_MINSA</v>
      </c>
      <c r="I3" s="4" t="str">
        <f>IF(OR(E3="",F3=""),IF(C3="",IF(G3="","",(CONCATENATE("sqlcmd -E -S ",B3," -d ",D3," -i ",MENU!$E$6,A3,"\",G3,".sql -o ",MENU!$B$9,G3, ".txt &amp; ",H3))),IF(G3="","",(CONCATENATE("sqlcmd -E -S ",B3,"\",C3," -d ",D3," -i ",MENU!$E$6,A3,"\",G3,".sql -o ",MENU!$B$9,G3, ".txt &amp; ",H3)))),IF(C3="",IF(G3="","",(CONCATENATE("sqlcmd -S ",B3," -d ",D3," -U ",E3," -P ",F3," -i ",MENU!$E$6,A3,"\",G3,".sql -o ",MENU!$B$9,G3, ".txt &amp; ",H3))),IF(G3="","",(CONCATENATE("sqlcmd -S ",B3,"\",C3," -d ",D3," -U ",E3," -P ",F3," -i ",MENU!$E$6,A3,"\",G3,".sql -o ",MENU!$B$9,G3, ".txt &amp; ",H3)))))</f>
        <v>sqlcmd -E -S UEIHNE01\SQLEXPRESS -d BDHIS_MINSA -i C:\HISMINSA\Scripts\ESNI\USP_TRAMA_BASE_ESNI_RPT.sql -o C:\HISMINSA\Resultados\USP_TRAMA_BASE_ESNI_RPT.txt &amp; @echo Script  ejecutado en la Base de datos UEIHNE01/SQLEXPRESS/BDHIS_MINSA</v>
      </c>
    </row>
    <row r="4" spans="1:9" ht="43.5" customHeight="1" thickBot="1" x14ac:dyDescent="0.25">
      <c r="A4" s="4"/>
      <c r="B4" s="4"/>
      <c r="C4" s="13"/>
      <c r="D4" s="5"/>
      <c r="E4" s="13"/>
      <c r="F4" s="13"/>
      <c r="G4" s="8"/>
      <c r="H4" s="5"/>
      <c r="I4" s="4"/>
    </row>
    <row r="5" spans="1:9" ht="43.5" customHeight="1" thickBot="1" x14ac:dyDescent="0.25">
      <c r="A5" s="4"/>
      <c r="B5" s="4"/>
      <c r="C5" s="13"/>
      <c r="D5" s="5"/>
      <c r="E5" s="13"/>
      <c r="F5" s="13"/>
      <c r="G5" s="8"/>
      <c r="H5" s="5"/>
      <c r="I5" s="4"/>
    </row>
    <row r="6" spans="1:9" ht="43.5" customHeight="1" thickBot="1" x14ac:dyDescent="0.25">
      <c r="A6" s="4"/>
      <c r="B6" s="4"/>
      <c r="C6" s="13"/>
      <c r="D6" s="5"/>
      <c r="E6" s="13"/>
      <c r="F6" s="13"/>
      <c r="G6" s="8"/>
      <c r="H6" s="5"/>
      <c r="I6" s="4"/>
    </row>
    <row r="7" spans="1:9" ht="43.5" customHeight="1" thickBot="1" x14ac:dyDescent="0.25">
      <c r="A7" s="4"/>
      <c r="B7" s="4"/>
      <c r="C7" s="13"/>
      <c r="D7" s="5"/>
      <c r="E7" s="13"/>
      <c r="F7" s="13"/>
      <c r="G7" s="8"/>
      <c r="H7" s="5"/>
      <c r="I7" s="4"/>
    </row>
    <row r="8" spans="1:9" ht="43.5" customHeight="1" thickBot="1" x14ac:dyDescent="0.25">
      <c r="A8" s="4"/>
      <c r="B8" s="4"/>
      <c r="C8" s="13"/>
      <c r="D8" s="5"/>
      <c r="E8" s="13"/>
      <c r="F8" s="13"/>
      <c r="G8" s="8"/>
      <c r="H8" s="5"/>
      <c r="I8" s="4"/>
    </row>
    <row r="9" spans="1:9" ht="43.5" customHeight="1" thickBot="1" x14ac:dyDescent="0.25">
      <c r="A9" s="4"/>
      <c r="B9" s="4"/>
      <c r="C9" s="13"/>
      <c r="D9" s="5"/>
      <c r="E9" s="13"/>
      <c r="F9" s="13"/>
      <c r="G9" s="8"/>
      <c r="H9" s="5"/>
      <c r="I9" s="4"/>
    </row>
    <row r="10" spans="1:9" ht="43.5" customHeight="1" thickBot="1" x14ac:dyDescent="0.25">
      <c r="A10" s="4"/>
      <c r="B10" s="4"/>
      <c r="C10" s="13"/>
      <c r="D10" s="5"/>
      <c r="E10" s="13"/>
      <c r="F10" s="13"/>
      <c r="G10" s="8"/>
      <c r="H10" s="5"/>
      <c r="I10" s="4"/>
    </row>
    <row r="11" spans="1:9" ht="43.5" customHeight="1" thickBot="1" x14ac:dyDescent="0.25">
      <c r="A11" s="4"/>
      <c r="B11" s="4"/>
      <c r="C11" s="13"/>
      <c r="D11" s="5"/>
      <c r="E11" s="13"/>
      <c r="F11" s="13"/>
      <c r="G11" s="8"/>
      <c r="H11" s="5"/>
      <c r="I11" s="4"/>
    </row>
    <row r="12" spans="1:9" ht="43.5" customHeight="1" thickBot="1" x14ac:dyDescent="0.25">
      <c r="A12" s="4"/>
      <c r="B12" s="4"/>
      <c r="C12" s="13"/>
      <c r="D12" s="5"/>
      <c r="E12" s="13"/>
      <c r="F12" s="13"/>
      <c r="G12" s="8"/>
      <c r="H12" s="5"/>
      <c r="I12" s="4"/>
    </row>
    <row r="13" spans="1:9" ht="43.5" customHeight="1" thickBot="1" x14ac:dyDescent="0.25">
      <c r="A13" s="4"/>
      <c r="B13" s="4"/>
      <c r="C13" s="13"/>
      <c r="D13" s="5"/>
      <c r="E13" s="13"/>
      <c r="F13" s="13"/>
      <c r="G13" s="8"/>
      <c r="H13" s="5"/>
      <c r="I13" s="4"/>
    </row>
    <row r="14" spans="1:9" ht="43.5" customHeight="1" thickBot="1" x14ac:dyDescent="0.25">
      <c r="A14" s="4"/>
      <c r="B14" s="4"/>
      <c r="C14" s="13"/>
      <c r="D14" s="5"/>
      <c r="E14" s="13"/>
      <c r="F14" s="13"/>
      <c r="G14" s="8"/>
      <c r="H14" s="5"/>
      <c r="I14" s="4"/>
    </row>
    <row r="15" spans="1:9" ht="43.5" customHeight="1" thickBot="1" x14ac:dyDescent="0.25">
      <c r="A15" s="4"/>
      <c r="B15" s="4"/>
      <c r="C15" s="13"/>
      <c r="D15" s="5"/>
      <c r="E15" s="13"/>
      <c r="F15" s="13"/>
      <c r="G15" s="8"/>
      <c r="H15" s="5"/>
      <c r="I15" s="4"/>
    </row>
    <row r="16" spans="1:9" ht="43.5" customHeight="1" thickBot="1" x14ac:dyDescent="0.25">
      <c r="A16" s="4"/>
      <c r="B16" s="4"/>
      <c r="C16" s="13"/>
      <c r="D16" s="5"/>
      <c r="E16" s="13"/>
      <c r="F16" s="13"/>
      <c r="G16" s="8"/>
      <c r="H16" s="5"/>
      <c r="I16" s="4"/>
    </row>
    <row r="17" spans="1:9" ht="43.5" customHeight="1" thickBot="1" x14ac:dyDescent="0.25">
      <c r="A17" s="4"/>
      <c r="B17" s="4"/>
      <c r="C17" s="13"/>
      <c r="D17" s="5"/>
      <c r="E17" s="13"/>
      <c r="F17" s="13"/>
      <c r="G17" s="8"/>
      <c r="H17" s="5"/>
      <c r="I17" s="4"/>
    </row>
    <row r="18" spans="1:9" ht="43.5" customHeight="1" thickBot="1" x14ac:dyDescent="0.25">
      <c r="A18" s="4"/>
      <c r="B18" s="4"/>
      <c r="C18" s="13"/>
      <c r="D18" s="5"/>
      <c r="E18" s="13"/>
      <c r="F18" s="13"/>
      <c r="G18" s="8"/>
      <c r="H18" s="5"/>
      <c r="I18" s="4"/>
    </row>
    <row r="19" spans="1:9" ht="43.5" customHeight="1" thickBot="1" x14ac:dyDescent="0.25">
      <c r="A19" s="4"/>
      <c r="B19" s="4"/>
      <c r="C19" s="13"/>
      <c r="D19" s="5"/>
      <c r="E19" s="13"/>
      <c r="F19" s="13"/>
      <c r="G19" s="8"/>
      <c r="H19" s="5"/>
      <c r="I19" s="4"/>
    </row>
    <row r="20" spans="1:9" ht="43.5" customHeight="1" thickBot="1" x14ac:dyDescent="0.25">
      <c r="A20" s="4"/>
      <c r="B20" s="4"/>
      <c r="C20" s="13"/>
      <c r="D20" s="5"/>
      <c r="E20" s="13"/>
      <c r="F20" s="13"/>
      <c r="G20" s="8"/>
      <c r="H20" s="5"/>
      <c r="I20" s="4"/>
    </row>
    <row r="21" spans="1:9" ht="43.5" customHeight="1" thickBot="1" x14ac:dyDescent="0.25">
      <c r="A21" s="4"/>
      <c r="B21" s="4"/>
      <c r="C21" s="13"/>
      <c r="D21" s="5"/>
      <c r="E21" s="13"/>
      <c r="F21" s="13"/>
      <c r="G21" s="8"/>
      <c r="H21" s="5"/>
      <c r="I21" s="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MENU</vt:lpstr>
      <vt:lpstr>BASICO</vt:lpstr>
      <vt:lpstr>MAESTROS</vt:lpstr>
      <vt:lpstr>INTEGRACION</vt:lpstr>
      <vt:lpstr>SP_REPORTES_OPERACIONALES</vt:lpstr>
      <vt:lpstr>TABLAS_REPORTES_OPERACIONALES</vt:lpstr>
      <vt:lpstr>REPORTES_OPERACIONALES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JUAN JARAMILLO MORALES</dc:creator>
  <cp:lastModifiedBy>PC</cp:lastModifiedBy>
  <dcterms:created xsi:type="dcterms:W3CDTF">2015-06-05T18:19:34Z</dcterms:created>
  <dcterms:modified xsi:type="dcterms:W3CDTF">2021-06-29T21:53:51Z</dcterms:modified>
</cp:coreProperties>
</file>